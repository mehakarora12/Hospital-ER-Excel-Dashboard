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010C0BEE-9816-4183-A516-56EAF67E45A7}" xr6:coauthVersionLast="47" xr6:coauthVersionMax="47" xr10:uidLastSave="{00000000-0000-0000-0000-000000000000}"/>
  <bookViews>
    <workbookView xWindow="-110" yWindow="-110" windowWidth="19420" windowHeight="10420" firstSheet="1" activeTab="1" xr2:uid="{B29E0AC6-023C-474A-AB48-9D507528323B}"/>
  </bookViews>
  <sheets>
    <sheet name="Pivot Report" sheetId="1" state="hidden" r:id="rId1"/>
    <sheet name="Dashboard" sheetId="9" r:id="rId2"/>
    <sheet name="Daily no.of patients" sheetId="3" state="hidden" r:id="rId3"/>
    <sheet name="Average wait time" sheetId="4" state="hidden" r:id="rId4"/>
    <sheet name="Satisfaction score" sheetId="5" state="hidden" r:id="rId5"/>
  </sheets>
  <definedNames>
    <definedName name="Slicer_Date__Month">#N/A</definedName>
    <definedName name="Slicer_Date__Year">#N/A</definedName>
  </definedNames>
  <calcPr calcId="191029"/>
  <pivotCaches>
    <pivotCache cacheId="123" r:id="rId6"/>
    <pivotCache cacheId="126" r:id="rId7"/>
    <pivotCache cacheId="129" r:id="rId8"/>
    <pivotCache cacheId="132" r:id="rId9"/>
    <pivotCache cacheId="135" r:id="rId10"/>
    <pivotCache cacheId="138" r:id="rId11"/>
    <pivotCache cacheId="141" r:id="rId12"/>
    <pivotCache cacheId="144" r:id="rId13"/>
    <pivotCache cacheId="147" r:id="rId14"/>
    <pivotCache cacheId="150" r:id="rId15"/>
    <pivotCache cacheId="153" r:id="rId16"/>
    <pivotCache cacheId="156"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1a5f756-99a1-47f4-8d6e-990225ae5eb6" name="Hospital Emergency Room Data" connection="Query - Hospital Emergency Room Data"/>
          <x15:modelTable id="Calender_Table_c205e0fb-4aa3-4bad-9ddd-38240159966b"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9" i="1" l="1"/>
  <c r="B29" i="1"/>
  <c r="C29" i="1"/>
  <c r="A30" i="1"/>
  <c r="B30" i="1"/>
  <c r="C3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CF1B8B-2A8A-452C-B2C3-47EAE0DFFBEF}" name="Query - Calender_Table" description="Connection to the 'Calender_Table' query in the workbook." type="100" refreshedVersion="7" minRefreshableVersion="5">
    <extLst>
      <ext xmlns:x15="http://schemas.microsoft.com/office/spreadsheetml/2010/11/main" uri="{DE250136-89BD-433C-8126-D09CA5730AF9}">
        <x15:connection id="da2f1c46-5826-4d0c-9aa3-656fc2bbbd33">
          <x15:oledbPr connection="Provider=Microsoft.Mashup.OleDb.1;Data Source=$Workbook$;Location=Calender_Table;Extended Properties=&quot;&quot;">
            <x15:dbTables>
              <x15:dbTable name="Calender_Table"/>
            </x15:dbTables>
          </x15:oledbPr>
        </x15:connection>
      </ext>
    </extLst>
  </connection>
  <connection id="2" xr16:uid="{66D70A52-6985-44DE-B9B9-A07DF2C6133F}"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b7d88ef0-09f7-4301-a7e5-f36ac6a1821e"/>
      </ext>
    </extLst>
  </connection>
  <connection id="3" xr16:uid="{D9439938-AD35-4BC8-9AA1-2EF6FB2AFF3C}"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<sst xmlns="http://schemas.openxmlformats.org/spreadsheetml/2006/main" count="148" uniqueCount="73">
  <si>
    <t>Distinct Count of Patient Id</t>
  </si>
  <si>
    <t>No. of Patient</t>
  </si>
  <si>
    <t>Average of Patient Waittime</t>
  </si>
  <si>
    <t>Average of Patient Satisfaction Score</t>
  </si>
  <si>
    <t>Grand Total</t>
  </si>
  <si>
    <t>Row Labels</t>
  </si>
  <si>
    <t>daily trends of no.of patient</t>
  </si>
  <si>
    <t xml:space="preserve">average wait time </t>
  </si>
  <si>
    <t>satisfaction score</t>
  </si>
  <si>
    <t>satisfaction scores daily trend</t>
  </si>
  <si>
    <t>Count of Patient Admission Flag</t>
  </si>
  <si>
    <t>Admitted</t>
  </si>
  <si>
    <t>Not Admitted</t>
  </si>
  <si>
    <t>Count of Patient Admission Flag2</t>
  </si>
  <si>
    <t>Admission Status</t>
  </si>
  <si>
    <t>%Status</t>
  </si>
  <si>
    <t>No.of Patient</t>
  </si>
  <si>
    <t>Count of Age Group</t>
  </si>
  <si>
    <t>0-09</t>
  </si>
  <si>
    <t>10-19</t>
  </si>
  <si>
    <t>20-29</t>
  </si>
  <si>
    <t>30-39</t>
  </si>
  <si>
    <t>40-49</t>
  </si>
  <si>
    <t>50-59</t>
  </si>
  <si>
    <t>60-69</t>
  </si>
  <si>
    <t>70-79</t>
  </si>
  <si>
    <t>Male</t>
  </si>
  <si>
    <t>None</t>
  </si>
  <si>
    <t>Delay</t>
  </si>
  <si>
    <t>Ontime</t>
  </si>
  <si>
    <t>Female</t>
  </si>
  <si>
    <t>General Practice</t>
  </si>
  <si>
    <t>Orthopedics</t>
  </si>
  <si>
    <t>Physiotherapy</t>
  </si>
  <si>
    <t>Neurology</t>
  </si>
  <si>
    <t>Gastroenterology</t>
  </si>
  <si>
    <t>Age Group wise analysis</t>
  </si>
  <si>
    <t>Attend status</t>
  </si>
  <si>
    <t>attended status</t>
  </si>
  <si>
    <t>Count of Patient Gender</t>
  </si>
  <si>
    <t>Gender</t>
  </si>
  <si>
    <t>Cardiology</t>
  </si>
  <si>
    <t>Renal</t>
  </si>
  <si>
    <t>Count of Department Referral</t>
  </si>
  <si>
    <t>referrals</t>
  </si>
  <si>
    <t>2023</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</si>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</sst>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1"/>
      <name val="Times New Roman"/>
      <family val="1"/>
    </font>
  </fonts>
  <fills count="7">
    <fill>
      <patternFill patternType="none"/>
    </fill>
    <fill>
      <patternFill patternType="gray125"/>
    </fill>
    <fill>
      <patternFill patternType="solid">
        <fgColor theme="0" tint="-0.149998474074526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0"/>
        <bgColor indexed="64"/>
      </patternFill>
    </fill>
    <fill>
      <patternFill patternType="solid">
        <fgColor theme="1"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pivotButton="1"/>
    <xf numFmtId="2" fontId="0" fillId="0" borderId="0" xfId="0" applyNumberFormat="1"/>
    <xf numFmtId="1" fontId="0" fillId="0" borderId="0" xfId="0" applyNumberFormat="1"/>
    <xf numFmtId="0" fontId="0" fillId="0" borderId="0" xfId="0" applyAlignment="1">
      <alignment horizontal="left"/>
    </xf>
    <xf numFmtId="0" fontId="0" fillId="2" borderId="0" xfId="0" applyFill="1"/>
    <xf numFmtId="10" fontId="0" fillId="0" borderId="0" xfId="0" applyNumberFormat="1"/>
    <xf numFmtId="9" fontId="0" fillId="0" borderId="0" xfId="1" applyFont="1"/>
    <xf numFmtId="0" fontId="0" fillId="3" borderId="0" xfId="0" applyFill="1" applyAlignment="1">
      <alignment horizontal="center"/>
    </xf>
    <xf numFmtId="0" fontId="2" fillId="4" borderId="0" xfId="0" applyFont="1" applyFill="1" applyBorder="1" applyAlignment="1">
      <alignment horizontal="center"/>
    </xf>
    <xf numFmtId="0" fontId="0" fillId="4" borderId="0" xfId="0" applyFill="1" applyBorder="1" applyAlignment="1">
      <alignment horizontal="center"/>
    </xf>
    <xf numFmtId="0" fontId="0" fillId="5" borderId="0" xfId="0" applyFill="1"/>
    <xf numFmtId="0" fontId="2" fillId="5" borderId="0" xfId="0" applyFont="1" applyFill="1" applyBorder="1" applyAlignment="1">
      <alignment horizontal="center"/>
    </xf>
    <xf numFmtId="9" fontId="2" fillId="5" borderId="0" xfId="1" applyFont="1" applyFill="1" applyBorder="1" applyAlignment="1">
      <alignment horizontal="center"/>
    </xf>
    <xf numFmtId="0" fontId="0" fillId="5" borderId="0" xfId="0" applyFill="1" applyBorder="1"/>
    <xf numFmtId="0" fontId="0" fillId="6" borderId="0" xfId="0" applyFill="1"/>
  </cellXfs>
  <cellStyles count="2">
    <cellStyle name="Normal" xfId="0" builtinId="0"/>
    <cellStyle name="Percent" xfId="1" builtinId="5"/>
  </cellStyles>
  <dxfs count="69">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 formatCode="0"/>
    </dxf>
    <dxf>
      <numFmt numFmtId="1" formatCode="0"/>
    </dxf>
    <dxf>
      <numFmt numFmtId="1" formatCode="0"/>
    </dxf>
    <dxf>
      <numFmt numFmtId="1" formatCode="0"/>
    </dxf>
    <dxf>
      <font>
        <b/>
        <color theme="1"/>
      </font>
      <border>
        <bottom style="thin">
          <color theme="9"/>
        </bottom>
        <vertical/>
        <horizontal/>
      </border>
    </dxf>
    <dxf>
      <font>
        <sz val="8"/>
        <color theme="1"/>
        <name val="Times New Roman"/>
        <family val="1"/>
        <scheme val="none"/>
      </font>
      <fill>
        <patternFill patternType="solid">
          <fgColor auto="1"/>
          <bgColor theme="0"/>
        </patternFill>
      </fill>
      <border diagonalUp="0" diagonalDown="0">
        <left/>
        <right/>
        <top/>
        <bottom/>
        <vertical/>
        <horizontal/>
      </border>
    </dxf>
    <dxf>
      <font>
        <b/>
        <color theme="1"/>
      </font>
      <border>
        <bottom style="thin">
          <color theme="0" tint="-0.34998626667073579"/>
        </bottom>
        <vertical/>
        <horizontal/>
      </border>
    </dxf>
    <dxf>
      <font>
        <color theme="1"/>
      </font>
      <fill>
        <patternFill patternType="solid">
          <bgColor theme="0"/>
        </patternFill>
      </fill>
      <border diagonalUp="0" diagonalDown="0">
        <left/>
        <right/>
        <top/>
        <bottom/>
        <vertical/>
        <horizontal/>
      </border>
    </dxf>
  </dxfs>
  <tableStyles count="2" defaultTableStyle="TableStyleMedium2" defaultPivotStyle="PivotStyleLight16">
    <tableStyle name="my slicer" pivot="0" table="0" count="10" xr9:uid="{4EF7E974-0C4A-428F-BDCB-5CF971632000}">
      <tableStyleElement type="wholeTable" dxfId="68"/>
      <tableStyleElement type="headerRow" dxfId="67"/>
    </tableStyle>
    <tableStyle name="My style" pivot="0" table="0" count="10" xr9:uid="{085B84DF-1BCB-4042-8CC1-51CE2E9EE77F}">
      <tableStyleElement type="wholeTable" dxfId="66"/>
      <tableStyleElement type="headerRow" dxfId="6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1"/>
  </c:pivotSource>
  <c:chart>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dLbl>
          <c:idx val="0"/>
          <c:layout>
            <c:manualLayout>
              <c:x val="0"/>
              <c:y val="-2.2857142857142857E-2"/>
            </c:manualLayout>
          </c:layout>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58E8A364-3073-45BE-ADE6-1ADE4DD3DEEE}" type="CELLRANGE">
                  <a:rPr lang="en-US"/>
                  <a:pPr>
                    <a:defRPr sz="600">
                      <a:latin typeface="Times New Roman" panose="02020603050405020304" pitchFamily="18" charset="0"/>
                      <a:cs typeface="Times New Roman" panose="02020603050405020304" pitchFamily="18" charset="0"/>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81570A8D-D257-44EE-B9FB-5CB5ADC0D74F}" type="CELLRANGE">
                  <a:rPr lang="en-US"/>
                  <a:pPr>
                    <a:defRPr sz="600">
                      <a:latin typeface="Times New Roman" panose="02020603050405020304" pitchFamily="18" charset="0"/>
                      <a:cs typeface="Times New Roman" panose="02020603050405020304" pitchFamily="18" charset="0"/>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6710661167354079"/>
          <c:y val="0.21758020247469068"/>
          <c:w val="0.53575120224065953"/>
          <c:h val="0.54098357705286837"/>
        </c:manualLayout>
      </c:layout>
      <c:barChart>
        <c:barDir val="bar"/>
        <c:grouping val="clustered"/>
        <c:varyColors val="0"/>
        <c:ser>
          <c:idx val="0"/>
          <c:order val="0"/>
          <c:tx>
            <c:strRef>
              <c:f>'Pivot Report'!$C$23:$C$24</c:f>
              <c:strCache>
                <c:ptCount val="1"/>
                <c:pt idx="0">
                  <c:v>Count of Patient Admission Flag</c:v>
                </c:pt>
              </c:strCache>
            </c:strRef>
          </c:tx>
          <c:spPr>
            <a:solidFill>
              <a:schemeClr val="accent1">
                <a:lumMod val="50000"/>
              </a:schemeClr>
            </a:solidFill>
            <a:ln>
              <a:noFill/>
            </a:ln>
            <a:effectLst/>
          </c:spPr>
          <c:invertIfNegative val="0"/>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87FE-460E-AE07-CF229FAFB3A3}"/>
              </c:ext>
            </c:extLst>
          </c:dPt>
          <c:dLbls>
            <c:dLbl>
              <c:idx val="0"/>
              <c:tx>
                <c:rich>
                  <a:bodyPr/>
                  <a:lstStyle/>
                  <a:p>
                    <a:fld id="{81570A8D-D257-44EE-B9FB-5CB5ADC0D7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7FE-460E-AE07-CF229FAFB3A3}"/>
                </c:ext>
              </c:extLst>
            </c:dLbl>
            <c:dLbl>
              <c:idx val="1"/>
              <c:layout>
                <c:manualLayout>
                  <c:x val="0"/>
                  <c:y val="-2.2857142857142857E-2"/>
                </c:manualLayout>
              </c:layout>
              <c:tx>
                <c:rich>
                  <a:bodyPr/>
                  <a:lstStyle/>
                  <a:p>
                    <a:fld id="{58E8A364-3073-45BE-ADE6-1ADE4DD3DE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7FE-460E-AE07-CF229FAFB3A3}"/>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Report'!$C$23:$C$24</c:f>
              <c:strCache>
                <c:ptCount val="2"/>
                <c:pt idx="0">
                  <c:v>Admitted</c:v>
                </c:pt>
                <c:pt idx="1">
                  <c:v>Not Admitted</c:v>
                </c:pt>
              </c:strCache>
            </c:strRef>
          </c:cat>
          <c:val>
            <c:numRef>
              <c:f>'Pivot Report'!$C$23:$C$24</c:f>
              <c:numCache>
                <c:formatCode>0.00</c:formatCode>
                <c:ptCount val="2"/>
                <c:pt idx="0">
                  <c:v>234</c:v>
                </c:pt>
                <c:pt idx="1">
                  <c:v>205</c:v>
                </c:pt>
              </c:numCache>
            </c:numRef>
          </c:val>
          <c:extLst>
            <c:ext xmlns:c15="http://schemas.microsoft.com/office/drawing/2012/chart" uri="{02D57815-91ED-43cb-92C2-25804820EDAC}">
              <c15:datalabelsRange>
                <c15:f>'Pivot Report'!$C$23:$C$24</c15:f>
                <c15:dlblRangeCache>
                  <c:ptCount val="2"/>
                  <c:pt idx="0">
                    <c:v>53.30%</c:v>
                  </c:pt>
                  <c:pt idx="1">
                    <c:v>46.70%</c:v>
                  </c:pt>
                </c15:dlblRangeCache>
              </c15:datalabelsRange>
            </c:ext>
            <c:ext xmlns:c16="http://schemas.microsoft.com/office/drawing/2014/chart" uri="{C3380CC4-5D6E-409C-BE32-E72D297353CC}">
              <c16:uniqueId val="{00000000-87FE-460E-AE07-CF229FAFB3A3}"/>
            </c:ext>
          </c:extLst>
        </c:ser>
        <c:ser>
          <c:idx val="1"/>
          <c:order val="1"/>
          <c:tx>
            <c:strRef>
              <c:f>'Pivot Report'!$C$23:$C$24</c:f>
              <c:strCache>
                <c:ptCount val="1"/>
                <c:pt idx="0">
                  <c:v>Count of Patient Admission Flag2</c:v>
                </c:pt>
              </c:strCache>
            </c:strRef>
          </c:tx>
          <c:spPr>
            <a:solidFill>
              <a:schemeClr val="accent1">
                <a:lumMod val="75000"/>
              </a:schemeClr>
            </a:solidFill>
            <a:ln>
              <a:noFill/>
            </a:ln>
            <a:effectLst/>
          </c:spPr>
          <c:invertIfNegative val="0"/>
          <c:cat>
            <c:strRef>
              <c:f>'Pivot Report'!$C$23:$C$24</c:f>
              <c:strCache>
                <c:ptCount val="2"/>
                <c:pt idx="0">
                  <c:v>Admitted</c:v>
                </c:pt>
                <c:pt idx="1">
                  <c:v>Not Admitted</c:v>
                </c:pt>
              </c:strCache>
            </c:strRef>
          </c:cat>
          <c:val>
            <c:numRef>
              <c:f>'Pivot Report'!$C$23:$C$24</c:f>
              <c:numCache>
                <c:formatCode>0.00%</c:formatCode>
                <c:ptCount val="2"/>
                <c:pt idx="0">
                  <c:v>0.53302961275626426</c:v>
                </c:pt>
                <c:pt idx="1">
                  <c:v>0.46697038724373574</c:v>
                </c:pt>
              </c:numCache>
            </c:numRef>
          </c:val>
          <c:extLst>
            <c:ext xmlns:c16="http://schemas.microsoft.com/office/drawing/2014/chart" uri="{C3380CC4-5D6E-409C-BE32-E72D297353CC}">
              <c16:uniqueId val="{00000001-87FE-460E-AE07-CF229FAFB3A3}"/>
            </c:ext>
          </c:extLst>
        </c:ser>
        <c:dLbls>
          <c:showLegendKey val="0"/>
          <c:showVal val="0"/>
          <c:showCatName val="0"/>
          <c:showSerName val="0"/>
          <c:showPercent val="0"/>
          <c:showBubbleSize val="0"/>
        </c:dLbls>
        <c:gapWidth val="0"/>
        <c:axId val="2030296576"/>
        <c:axId val="2030299072"/>
      </c:barChart>
      <c:catAx>
        <c:axId val="2030296576"/>
        <c:scaling>
          <c:orientation val="minMax"/>
        </c:scaling>
        <c:delete val="1"/>
        <c:axPos val="l"/>
        <c:numFmt formatCode="General" sourceLinked="1"/>
        <c:majorTickMark val="none"/>
        <c:minorTickMark val="none"/>
        <c:tickLblPos val="nextTo"/>
        <c:crossAx val="2030299072"/>
        <c:crosses val="autoZero"/>
        <c:auto val="1"/>
        <c:lblAlgn val="ctr"/>
        <c:lblOffset val="100"/>
        <c:noMultiLvlLbl val="0"/>
      </c:catAx>
      <c:valAx>
        <c:axId val="2030299072"/>
        <c:scaling>
          <c:orientation val="minMax"/>
        </c:scaling>
        <c:delete val="1"/>
        <c:axPos val="b"/>
        <c:numFmt formatCode="0.00" sourceLinked="1"/>
        <c:majorTickMark val="none"/>
        <c:minorTickMark val="none"/>
        <c:tickLblPos val="nextTo"/>
        <c:crossAx val="203029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94"/>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7379262582616944"/>
              <c:y val="9.1890933187806972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0.19216994625193845"/>
              <c:y val="-8.6940438138302018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19216994625193845"/>
              <c:y val="-8.6940438138302018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0.17379262582616944"/>
              <c:y val="9.1890933187806972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0.19216994625193845"/>
              <c:y val="-8.6940438138302018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0.25012862895954802"/>
              <c:y val="9.1891183743676177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dLbl>
          <c:idx val="0"/>
          <c:layout>
            <c:manualLayout>
              <c:x val="-0.19216994625193845"/>
              <c:y val="-8.6940438138302018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0.25012862895954802"/>
              <c:y val="9.1891183743676177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130674785651276"/>
          <c:y val="0.17068095602475486"/>
          <c:w val="0.6490376202974627"/>
          <c:h val="0.72475319084392109"/>
        </c:manualLayout>
      </c:layout>
      <c:pieChart>
        <c:varyColors val="1"/>
        <c:ser>
          <c:idx val="0"/>
          <c:order val="0"/>
          <c:tx>
            <c:strRef>
              <c:f>'Pivot Report'!$B$48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678-4982-8452-EED67DCF1F4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678-4982-8452-EED67DCF1F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Report'!$A$49:$A$51</c:f>
              <c:strCache>
                <c:ptCount val="2"/>
                <c:pt idx="0">
                  <c:v>Delay</c:v>
                </c:pt>
                <c:pt idx="1">
                  <c:v>Ontime</c:v>
                </c:pt>
              </c:strCache>
            </c:strRef>
          </c:cat>
          <c:val>
            <c:numRef>
              <c:f>'Pivot Report'!$B$49:$B$51</c:f>
              <c:numCache>
                <c:formatCode>0</c:formatCode>
                <c:ptCount val="2"/>
                <c:pt idx="0">
                  <c:v>248</c:v>
                </c:pt>
                <c:pt idx="1">
                  <c:v>191</c:v>
                </c:pt>
              </c:numCache>
            </c:numRef>
          </c:val>
          <c:extLst>
            <c:ext xmlns:c16="http://schemas.microsoft.com/office/drawing/2014/chart" uri="{C3380CC4-5D6E-409C-BE32-E72D297353CC}">
              <c16:uniqueId val="{00000004-2678-4982-8452-EED67DCF1F4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407947493282022E-2"/>
          <c:y val="1.998630697390482E-2"/>
          <c:w val="0.80857481324545177"/>
          <c:h val="0.14032417593303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9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6.2111801242236021E-3"/>
              <c:y val="7.6775431861804922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dLbl>
          <c:idx val="0"/>
          <c:layout>
            <c:manualLayout>
              <c:x val="6.2111801242236021E-3"/>
              <c:y val="-7.0376666209400342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6.2111801242236021E-3"/>
              <c:y val="7.6775431861804922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6.2111801242236021E-3"/>
              <c:y val="-7.0376666209400342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6.2111801242236021E-3"/>
              <c:y val="7.6775431861804922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6.2111801242236021E-3"/>
              <c:y val="-7.0376666209400342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6.2111801242236021E-3"/>
              <c:y val="7.6775431861804922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dLbl>
          <c:idx val="0"/>
          <c:layout>
            <c:manualLayout>
              <c:x val="6.2111801242236021E-3"/>
              <c:y val="-7.0376666209400342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dLbl>
          <c:idx val="0"/>
          <c:layout>
            <c:manualLayout>
              <c:x val="6.2111801242236021E-3"/>
              <c:y val="7.6775431861804922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dLbl>
          <c:idx val="0"/>
          <c:layout>
            <c:manualLayout>
              <c:x val="6.2111801242236021E-3"/>
              <c:y val="-7.0376666209400342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832249229715851"/>
          <c:y val="0.19587891244880379"/>
          <c:w val="0.58440512806463019"/>
          <c:h val="0.63768939139729575"/>
        </c:manualLayout>
      </c:layout>
      <c:doughnutChart>
        <c:varyColors val="1"/>
        <c:ser>
          <c:idx val="0"/>
          <c:order val="0"/>
          <c:tx>
            <c:strRef>
              <c:f>'Pivot Report'!$B$55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061-4A9F-A44A-C61951EEDB8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061-4A9F-A44A-C61951EEDB89}"/>
              </c:ext>
            </c:extLst>
          </c:dPt>
          <c:dLbls>
            <c:dLbl>
              <c:idx val="0"/>
              <c:layout>
                <c:manualLayout>
                  <c:x val="6.2111801242236021E-3"/>
                  <c:y val="7.6775431861804922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061-4A9F-A44A-C61951EEDB89}"/>
                </c:ext>
              </c:extLst>
            </c:dLbl>
            <c:dLbl>
              <c:idx val="1"/>
              <c:layout>
                <c:manualLayout>
                  <c:x val="6.2111801242236021E-3"/>
                  <c:y val="-7.0376666209400342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61-4A9F-A44A-C61951EEDB89}"/>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Report'!$A$56:$A$58</c:f>
              <c:strCache>
                <c:ptCount val="2"/>
                <c:pt idx="0">
                  <c:v>Female</c:v>
                </c:pt>
                <c:pt idx="1">
                  <c:v>Male</c:v>
                </c:pt>
              </c:strCache>
            </c:strRef>
          </c:cat>
          <c:val>
            <c:numRef>
              <c:f>'Pivot Report'!$B$56:$B$58</c:f>
              <c:numCache>
                <c:formatCode>0</c:formatCode>
                <c:ptCount val="2"/>
                <c:pt idx="0">
                  <c:v>217</c:v>
                </c:pt>
                <c:pt idx="1">
                  <c:v>222</c:v>
                </c:pt>
              </c:numCache>
            </c:numRef>
          </c:val>
          <c:extLst>
            <c:ext xmlns:c16="http://schemas.microsoft.com/office/drawing/2014/chart" uri="{C3380CC4-5D6E-409C-BE32-E72D297353CC}">
              <c16:uniqueId val="{00000004-9061-4A9F-A44A-C61951EEDB89}"/>
            </c:ext>
          </c:extLst>
        </c:ser>
        <c:dLbls>
          <c:showLegendKey val="0"/>
          <c:showVal val="0"/>
          <c:showCatName val="0"/>
          <c:showSerName val="0"/>
          <c:showPercent val="1"/>
          <c:showBubbleSize val="0"/>
          <c:showLeaderLines val="1"/>
        </c:dLbls>
        <c:firstSliceAng val="0"/>
        <c:holeSize val="48"/>
      </c:doughnutChart>
      <c:spPr>
        <a:noFill/>
        <a:ln>
          <a:noFill/>
        </a:ln>
        <a:effectLst/>
      </c:spPr>
    </c:plotArea>
    <c:legend>
      <c:legendPos val="r"/>
      <c:layout>
        <c:manualLayout>
          <c:xMode val="edge"/>
          <c:yMode val="edge"/>
          <c:x val="0.29689426321709789"/>
          <c:y val="2.8356129188266053E-2"/>
          <c:w val="0.5638200224971878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Report!PivotTable12</c:name>
    <c:fmtId val="104"/>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16152812042964"/>
          <c:y val="0.11958418725056628"/>
          <c:w val="0.73709549924936424"/>
          <c:h val="0.75523041938028868"/>
        </c:manualLayout>
      </c:layout>
      <c:barChart>
        <c:barDir val="bar"/>
        <c:grouping val="clustered"/>
        <c:varyColors val="0"/>
        <c:ser>
          <c:idx val="0"/>
          <c:order val="0"/>
          <c:tx>
            <c:strRef>
              <c:f>'Pivot Report'!$B$63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Report'!$A$64:$A$72</c:f>
              <c:strCache>
                <c:ptCount val="8"/>
                <c:pt idx="0">
                  <c:v>Neurology</c:v>
                </c:pt>
                <c:pt idx="1">
                  <c:v>Renal</c:v>
                </c:pt>
                <c:pt idx="2">
                  <c:v>Gastroenterology</c:v>
                </c:pt>
                <c:pt idx="3">
                  <c:v>Cardiology</c:v>
                </c:pt>
                <c:pt idx="4">
                  <c:v>Physiotherapy</c:v>
                </c:pt>
                <c:pt idx="5">
                  <c:v>Orthopedics</c:v>
                </c:pt>
                <c:pt idx="6">
                  <c:v>General Practice</c:v>
                </c:pt>
                <c:pt idx="7">
                  <c:v>None</c:v>
                </c:pt>
              </c:strCache>
            </c:strRef>
          </c:cat>
          <c:val>
            <c:numRef>
              <c:f>'Pivot Report'!$B$64:$B$72</c:f>
              <c:numCache>
                <c:formatCode>0</c:formatCode>
                <c:ptCount val="8"/>
                <c:pt idx="0">
                  <c:v>3</c:v>
                </c:pt>
                <c:pt idx="1">
                  <c:v>4</c:v>
                </c:pt>
                <c:pt idx="2">
                  <c:v>11</c:v>
                </c:pt>
                <c:pt idx="3">
                  <c:v>14</c:v>
                </c:pt>
                <c:pt idx="4">
                  <c:v>17</c:v>
                </c:pt>
                <c:pt idx="5">
                  <c:v>53</c:v>
                </c:pt>
                <c:pt idx="6">
                  <c:v>99</c:v>
                </c:pt>
                <c:pt idx="7">
                  <c:v>238</c:v>
                </c:pt>
              </c:numCache>
            </c:numRef>
          </c:val>
          <c:extLst>
            <c:ext xmlns:c16="http://schemas.microsoft.com/office/drawing/2014/chart" uri="{C3380CC4-5D6E-409C-BE32-E72D297353CC}">
              <c16:uniqueId val="{00000000-7CB7-4AC1-A232-722925D902E1}"/>
            </c:ext>
          </c:extLst>
        </c:ser>
        <c:dLbls>
          <c:showLegendKey val="0"/>
          <c:showVal val="0"/>
          <c:showCatName val="0"/>
          <c:showSerName val="0"/>
          <c:showPercent val="0"/>
          <c:showBubbleSize val="0"/>
        </c:dLbls>
        <c:gapWidth val="52"/>
        <c:axId val="1539760880"/>
        <c:axId val="1539761712"/>
      </c:barChart>
      <c:catAx>
        <c:axId val="153976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39761712"/>
        <c:crosses val="autoZero"/>
        <c:auto val="1"/>
        <c:lblAlgn val="ctr"/>
        <c:lblOffset val="100"/>
        <c:noMultiLvlLbl val="0"/>
      </c:catAx>
      <c:valAx>
        <c:axId val="1539761712"/>
        <c:scaling>
          <c:orientation val="minMax"/>
        </c:scaling>
        <c:delete val="1"/>
        <c:axPos val="b"/>
        <c:numFmt formatCode="0" sourceLinked="1"/>
        <c:majorTickMark val="none"/>
        <c:minorTickMark val="none"/>
        <c:tickLblPos val="nextTo"/>
        <c:crossAx val="153976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8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13895848246247E-2"/>
          <c:y val="0.10828377796059074"/>
          <c:w val="0.86531811291901972"/>
          <c:h val="0.62913855917264072"/>
        </c:manualLayout>
      </c:layout>
      <c:barChart>
        <c:barDir val="col"/>
        <c:grouping val="clustered"/>
        <c:varyColors val="0"/>
        <c:ser>
          <c:idx val="0"/>
          <c:order val="0"/>
          <c:tx>
            <c:strRef>
              <c:f>'Pivot Report'!$B$34</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Report'!$A$35:$A$43</c:f>
              <c:strCache>
                <c:ptCount val="8"/>
                <c:pt idx="0">
                  <c:v>0-09</c:v>
                </c:pt>
                <c:pt idx="1">
                  <c:v>10-19</c:v>
                </c:pt>
                <c:pt idx="2">
                  <c:v>20-29</c:v>
                </c:pt>
                <c:pt idx="3">
                  <c:v>30-39</c:v>
                </c:pt>
                <c:pt idx="4">
                  <c:v>40-49</c:v>
                </c:pt>
                <c:pt idx="5">
                  <c:v>50-59</c:v>
                </c:pt>
                <c:pt idx="6">
                  <c:v>60-69</c:v>
                </c:pt>
                <c:pt idx="7">
                  <c:v>70-79</c:v>
                </c:pt>
              </c:strCache>
            </c:strRef>
          </c:cat>
          <c:val>
            <c:numRef>
              <c:f>'Pivot Report'!$B$35:$B$43</c:f>
              <c:numCache>
                <c:formatCode>0</c:formatCode>
                <c:ptCount val="8"/>
                <c:pt idx="0">
                  <c:v>63</c:v>
                </c:pt>
                <c:pt idx="1">
                  <c:v>52</c:v>
                </c:pt>
                <c:pt idx="2">
                  <c:v>54</c:v>
                </c:pt>
                <c:pt idx="3">
                  <c:v>50</c:v>
                </c:pt>
                <c:pt idx="4">
                  <c:v>54</c:v>
                </c:pt>
                <c:pt idx="5">
                  <c:v>57</c:v>
                </c:pt>
                <c:pt idx="6">
                  <c:v>57</c:v>
                </c:pt>
                <c:pt idx="7">
                  <c:v>52</c:v>
                </c:pt>
              </c:numCache>
            </c:numRef>
          </c:val>
          <c:extLst>
            <c:ext xmlns:c16="http://schemas.microsoft.com/office/drawing/2014/chart" uri="{C3380CC4-5D6E-409C-BE32-E72D297353CC}">
              <c16:uniqueId val="{00000000-F6B7-47F4-9DB2-AD1DA026923F}"/>
            </c:ext>
          </c:extLst>
        </c:ser>
        <c:dLbls>
          <c:showLegendKey val="0"/>
          <c:showVal val="0"/>
          <c:showCatName val="0"/>
          <c:showSerName val="0"/>
          <c:showPercent val="0"/>
          <c:showBubbleSize val="0"/>
        </c:dLbls>
        <c:gapWidth val="219"/>
        <c:overlap val="-27"/>
        <c:axId val="1964578032"/>
        <c:axId val="1964575120"/>
      </c:barChart>
      <c:catAx>
        <c:axId val="196457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64575120"/>
        <c:crosses val="autoZero"/>
        <c:auto val="1"/>
        <c:lblAlgn val="ctr"/>
        <c:lblOffset val="100"/>
        <c:noMultiLvlLbl val="0"/>
      </c:catAx>
      <c:valAx>
        <c:axId val="1964575120"/>
        <c:scaling>
          <c:orientation val="minMax"/>
        </c:scaling>
        <c:delete val="1"/>
        <c:axPos val="l"/>
        <c:numFmt formatCode="0" sourceLinked="1"/>
        <c:majorTickMark val="none"/>
        <c:minorTickMark val="none"/>
        <c:tickLblPos val="nextTo"/>
        <c:crossAx val="196457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[Book1.xlsx]Pivot Report!PivotTable7</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32653061224497E-3"/>
          <c:y val="0.18512383679312813"/>
          <c:w val="0.99175735055589964"/>
          <c:h val="0.57024793388429751"/>
        </c:manualLayout>
      </c:layout>
      <c:areaChart>
        <c:grouping val="standard"/>
        <c:varyColors val="0"/>
        <c:ser>
          <c:idx val="0"/>
          <c:order val="0"/>
          <c:tx>
            <c:strRef>
              <c:f>'Pivot Report'!$G$7</c:f>
              <c:strCache>
                <c:ptCount val="1"/>
                <c:pt idx="0">
                  <c:v>Total</c:v>
                </c:pt>
              </c:strCache>
            </c:strRef>
          </c:tx>
          <c:spPr>
            <a:solidFill>
              <a:schemeClr val="accent1">
                <a:lumMod val="50000"/>
              </a:schemeClr>
            </a:solidFill>
            <a:ln>
              <a:noFill/>
            </a:ln>
            <a:effectLst/>
          </c:spPr>
          <c:cat>
            <c:strRef>
              <c:f>'Pivot Report'!$F$8:$F$35</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Report'!$G$8:$G$35</c:f>
              <c:numCache>
                <c:formatCode>0</c:formatCode>
                <c:ptCount val="27"/>
                <c:pt idx="0">
                  <c:v>12</c:v>
                </c:pt>
                <c:pt idx="1">
                  <c:v>20</c:v>
                </c:pt>
                <c:pt idx="2">
                  <c:v>19</c:v>
                </c:pt>
                <c:pt idx="3">
                  <c:v>16</c:v>
                </c:pt>
                <c:pt idx="4">
                  <c:v>12</c:v>
                </c:pt>
                <c:pt idx="5">
                  <c:v>15</c:v>
                </c:pt>
                <c:pt idx="6">
                  <c:v>19</c:v>
                </c:pt>
                <c:pt idx="7">
                  <c:v>17</c:v>
                </c:pt>
                <c:pt idx="8">
                  <c:v>7</c:v>
                </c:pt>
                <c:pt idx="9">
                  <c:v>12</c:v>
                </c:pt>
                <c:pt idx="10">
                  <c:v>13</c:v>
                </c:pt>
                <c:pt idx="11">
                  <c:v>26</c:v>
                </c:pt>
                <c:pt idx="12">
                  <c:v>22</c:v>
                </c:pt>
                <c:pt idx="13">
                  <c:v>16</c:v>
                </c:pt>
                <c:pt idx="14">
                  <c:v>12</c:v>
                </c:pt>
                <c:pt idx="15">
                  <c:v>21</c:v>
                </c:pt>
                <c:pt idx="16">
                  <c:v>12</c:v>
                </c:pt>
                <c:pt idx="17">
                  <c:v>15</c:v>
                </c:pt>
                <c:pt idx="18">
                  <c:v>23</c:v>
                </c:pt>
                <c:pt idx="19">
                  <c:v>15</c:v>
                </c:pt>
                <c:pt idx="20">
                  <c:v>15</c:v>
                </c:pt>
                <c:pt idx="21">
                  <c:v>14</c:v>
                </c:pt>
                <c:pt idx="22">
                  <c:v>19</c:v>
                </c:pt>
                <c:pt idx="23">
                  <c:v>17</c:v>
                </c:pt>
                <c:pt idx="24">
                  <c:v>16</c:v>
                </c:pt>
                <c:pt idx="25">
                  <c:v>15</c:v>
                </c:pt>
                <c:pt idx="26">
                  <c:v>19</c:v>
                </c:pt>
              </c:numCache>
            </c:numRef>
          </c:val>
          <c:extLst>
            <c:ext xmlns:c16="http://schemas.microsoft.com/office/drawing/2014/chart" uri="{C3380CC4-5D6E-409C-BE32-E72D297353CC}">
              <c16:uniqueId val="{00000000-FE4B-41BE-A6FB-558FF3DE6090}"/>
            </c:ext>
          </c:extLst>
        </c:ser>
        <c:dLbls>
          <c:showLegendKey val="0"/>
          <c:showVal val="0"/>
          <c:showCatName val="0"/>
          <c:showSerName val="0"/>
          <c:showPercent val="0"/>
          <c:showBubbleSize val="0"/>
        </c:dLbls>
        <c:axId val="525540223"/>
        <c:axId val="525542719"/>
      </c:areaChart>
      <c:catAx>
        <c:axId val="525540223"/>
        <c:scaling>
          <c:orientation val="minMax"/>
        </c:scaling>
        <c:delete val="1"/>
        <c:axPos val="b"/>
        <c:numFmt formatCode="General" sourceLinked="1"/>
        <c:majorTickMark val="out"/>
        <c:minorTickMark val="none"/>
        <c:tickLblPos val="nextTo"/>
        <c:crossAx val="525542719"/>
        <c:crosses val="autoZero"/>
        <c:auto val="1"/>
        <c:lblAlgn val="ctr"/>
        <c:lblOffset val="100"/>
        <c:noMultiLvlLbl val="0"/>
      </c:catAx>
      <c:valAx>
        <c:axId val="525542719"/>
        <c:scaling>
          <c:orientation val="minMax"/>
        </c:scaling>
        <c:delete val="1"/>
        <c:axPos val="l"/>
        <c:numFmt formatCode="0" sourceLinked="1"/>
        <c:majorTickMark val="none"/>
        <c:minorTickMark val="none"/>
        <c:tickLblPos val="nextTo"/>
        <c:crossAx val="525540223"/>
        <c:crosses val="autoZero"/>
        <c:crossBetween val="midCat"/>
      </c:valAx>
      <c:spPr>
        <a:noFill/>
        <a:ln>
          <a:noFill/>
        </a:ln>
        <a:effectLst/>
      </c:spPr>
    </c:plotArea>
    <c:plotVisOnly val="1"/>
    <c:dispBlanksAs val="zero"/>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7569352848501845"/>
          <c:h val="0.6475253093363329"/>
        </c:manualLayout>
      </c:layout>
      <c:areaChart>
        <c:grouping val="standard"/>
        <c:varyColors val="0"/>
        <c:ser>
          <c:idx val="0"/>
          <c:order val="0"/>
          <c:tx>
            <c:strRef>
              <c:f>'Pivot Report'!$K$7</c:f>
              <c:strCache>
                <c:ptCount val="1"/>
                <c:pt idx="0">
                  <c:v>Total</c:v>
                </c:pt>
              </c:strCache>
            </c:strRef>
          </c:tx>
          <c:spPr>
            <a:solidFill>
              <a:schemeClr val="accent1">
                <a:lumMod val="50000"/>
              </a:schemeClr>
            </a:solidFill>
            <a:ln>
              <a:noFill/>
            </a:ln>
            <a:effectLst/>
          </c:spPr>
          <c:cat>
            <c:strRef>
              <c:f>'Pivot Report'!$J$8:$J$35</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Report'!$K$8:$K$35</c:f>
              <c:numCache>
                <c:formatCode>0</c:formatCode>
                <c:ptCount val="27"/>
                <c:pt idx="0">
                  <c:v>36.416666666666664</c:v>
                </c:pt>
                <c:pt idx="1">
                  <c:v>35.549999999999997</c:v>
                </c:pt>
                <c:pt idx="2">
                  <c:v>37.368421052631582</c:v>
                </c:pt>
                <c:pt idx="3">
                  <c:v>30.9375</c:v>
                </c:pt>
                <c:pt idx="4">
                  <c:v>28.25</c:v>
                </c:pt>
                <c:pt idx="5">
                  <c:v>43.466666666666669</c:v>
                </c:pt>
                <c:pt idx="6">
                  <c:v>36.05263157894737</c:v>
                </c:pt>
                <c:pt idx="7">
                  <c:v>39.764705882352942</c:v>
                </c:pt>
                <c:pt idx="8">
                  <c:v>33.857142857142854</c:v>
                </c:pt>
                <c:pt idx="9">
                  <c:v>32</c:v>
                </c:pt>
                <c:pt idx="10">
                  <c:v>37.615384615384613</c:v>
                </c:pt>
                <c:pt idx="11">
                  <c:v>37.384615384615387</c:v>
                </c:pt>
                <c:pt idx="12">
                  <c:v>33.954545454545453</c:v>
                </c:pt>
                <c:pt idx="13">
                  <c:v>32.5</c:v>
                </c:pt>
                <c:pt idx="14">
                  <c:v>37.25</c:v>
                </c:pt>
                <c:pt idx="15">
                  <c:v>34.047619047619051</c:v>
                </c:pt>
                <c:pt idx="16">
                  <c:v>34.583333333333336</c:v>
                </c:pt>
                <c:pt idx="17">
                  <c:v>31</c:v>
                </c:pt>
                <c:pt idx="18">
                  <c:v>33.347826086956523</c:v>
                </c:pt>
                <c:pt idx="19">
                  <c:v>33.799999999999997</c:v>
                </c:pt>
                <c:pt idx="20">
                  <c:v>32.466666666666669</c:v>
                </c:pt>
                <c:pt idx="21">
                  <c:v>36.642857142857146</c:v>
                </c:pt>
                <c:pt idx="22">
                  <c:v>32.631578947368418</c:v>
                </c:pt>
                <c:pt idx="23">
                  <c:v>32.176470588235297</c:v>
                </c:pt>
                <c:pt idx="24">
                  <c:v>33.5</c:v>
                </c:pt>
                <c:pt idx="25">
                  <c:v>33.200000000000003</c:v>
                </c:pt>
                <c:pt idx="26">
                  <c:v>35.89473684210526</c:v>
                </c:pt>
              </c:numCache>
            </c:numRef>
          </c:val>
          <c:extLst>
            <c:ext xmlns:c16="http://schemas.microsoft.com/office/drawing/2014/chart" uri="{C3380CC4-5D6E-409C-BE32-E72D297353CC}">
              <c16:uniqueId val="{00000000-80D2-4D79-AA41-9D2758E75A26}"/>
            </c:ext>
          </c:extLst>
        </c:ser>
        <c:dLbls>
          <c:showLegendKey val="0"/>
          <c:showVal val="0"/>
          <c:showCatName val="0"/>
          <c:showSerName val="0"/>
          <c:showPercent val="0"/>
          <c:showBubbleSize val="0"/>
        </c:dLbls>
        <c:axId val="1471065840"/>
        <c:axId val="1471052112"/>
      </c:areaChart>
      <c:catAx>
        <c:axId val="1471065840"/>
        <c:scaling>
          <c:orientation val="minMax"/>
        </c:scaling>
        <c:delete val="1"/>
        <c:axPos val="b"/>
        <c:numFmt formatCode="General" sourceLinked="1"/>
        <c:majorTickMark val="out"/>
        <c:minorTickMark val="none"/>
        <c:tickLblPos val="nextTo"/>
        <c:crossAx val="1471052112"/>
        <c:crosses val="autoZero"/>
        <c:auto val="1"/>
        <c:lblAlgn val="ctr"/>
        <c:lblOffset val="100"/>
        <c:noMultiLvlLbl val="0"/>
      </c:catAx>
      <c:valAx>
        <c:axId val="1471052112"/>
        <c:scaling>
          <c:orientation val="minMax"/>
        </c:scaling>
        <c:delete val="1"/>
        <c:axPos val="l"/>
        <c:numFmt formatCode="0" sourceLinked="1"/>
        <c:majorTickMark val="none"/>
        <c:minorTickMark val="none"/>
        <c:tickLblPos val="nextTo"/>
        <c:crossAx val="14710658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074523783798092E-2"/>
          <c:y val="2.7777388771408965E-2"/>
          <c:w val="0.98536987812829124"/>
          <c:h val="0.89814814814814814"/>
        </c:manualLayout>
      </c:layout>
      <c:areaChart>
        <c:grouping val="standard"/>
        <c:varyColors val="0"/>
        <c:ser>
          <c:idx val="0"/>
          <c:order val="0"/>
          <c:tx>
            <c:strRef>
              <c:f>'Pivot Report'!$N$7</c:f>
              <c:strCache>
                <c:ptCount val="1"/>
                <c:pt idx="0">
                  <c:v>Total</c:v>
                </c:pt>
              </c:strCache>
            </c:strRef>
          </c:tx>
          <c:spPr>
            <a:solidFill>
              <a:schemeClr val="accent1">
                <a:lumMod val="50000"/>
              </a:schemeClr>
            </a:solidFill>
            <a:ln>
              <a:noFill/>
            </a:ln>
            <a:effectLst/>
          </c:spPr>
          <c:cat>
            <c:strRef>
              <c:f>'Pivot Report'!$M$8:$M$35</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Report'!$N$8:$N$35</c:f>
              <c:numCache>
                <c:formatCode>0</c:formatCode>
                <c:ptCount val="27"/>
                <c:pt idx="0">
                  <c:v>5.25</c:v>
                </c:pt>
                <c:pt idx="1">
                  <c:v>5</c:v>
                </c:pt>
                <c:pt idx="2">
                  <c:v>5.7142857142857144</c:v>
                </c:pt>
                <c:pt idx="3">
                  <c:v>7</c:v>
                </c:pt>
                <c:pt idx="4">
                  <c:v>6.666666666666667</c:v>
                </c:pt>
                <c:pt idx="5">
                  <c:v>1.5</c:v>
                </c:pt>
                <c:pt idx="6">
                  <c:v>5</c:v>
                </c:pt>
                <c:pt idx="7">
                  <c:v>4.5999999999999996</c:v>
                </c:pt>
                <c:pt idx="8">
                  <c:v>6.5</c:v>
                </c:pt>
                <c:pt idx="9">
                  <c:v>5</c:v>
                </c:pt>
                <c:pt idx="10">
                  <c:v>6.5</c:v>
                </c:pt>
                <c:pt idx="11">
                  <c:v>4.1111111111111107</c:v>
                </c:pt>
                <c:pt idx="12">
                  <c:v>6.6</c:v>
                </c:pt>
                <c:pt idx="13">
                  <c:v>5.2</c:v>
                </c:pt>
                <c:pt idx="14">
                  <c:v>5.5</c:v>
                </c:pt>
                <c:pt idx="15">
                  <c:v>3.3333333333333335</c:v>
                </c:pt>
                <c:pt idx="16">
                  <c:v>5</c:v>
                </c:pt>
                <c:pt idx="17">
                  <c:v>6.5</c:v>
                </c:pt>
                <c:pt idx="18">
                  <c:v>3</c:v>
                </c:pt>
                <c:pt idx="19">
                  <c:v>5.333333333333333</c:v>
                </c:pt>
                <c:pt idx="20">
                  <c:v>7.333333333333333</c:v>
                </c:pt>
                <c:pt idx="21">
                  <c:v>5.6</c:v>
                </c:pt>
                <c:pt idx="22">
                  <c:v>4.4000000000000004</c:v>
                </c:pt>
                <c:pt idx="23">
                  <c:v>4</c:v>
                </c:pt>
                <c:pt idx="24">
                  <c:v>3</c:v>
                </c:pt>
                <c:pt idx="25">
                  <c:v>5.666666666666667</c:v>
                </c:pt>
                <c:pt idx="26">
                  <c:v>5.8571428571428568</c:v>
                </c:pt>
              </c:numCache>
            </c:numRef>
          </c:val>
          <c:extLst>
            <c:ext xmlns:c16="http://schemas.microsoft.com/office/drawing/2014/chart" uri="{C3380CC4-5D6E-409C-BE32-E72D297353CC}">
              <c16:uniqueId val="{00000000-1979-43D5-A54C-82C35E390C3B}"/>
            </c:ext>
          </c:extLst>
        </c:ser>
        <c:dLbls>
          <c:showLegendKey val="0"/>
          <c:showVal val="0"/>
          <c:showCatName val="0"/>
          <c:showSerName val="0"/>
          <c:showPercent val="0"/>
          <c:showBubbleSize val="0"/>
        </c:dLbls>
        <c:axId val="1964578864"/>
        <c:axId val="1964577200"/>
      </c:areaChart>
      <c:catAx>
        <c:axId val="1964578864"/>
        <c:scaling>
          <c:orientation val="minMax"/>
        </c:scaling>
        <c:delete val="1"/>
        <c:axPos val="b"/>
        <c:numFmt formatCode="General" sourceLinked="1"/>
        <c:majorTickMark val="out"/>
        <c:minorTickMark val="none"/>
        <c:tickLblPos val="nextTo"/>
        <c:crossAx val="1964577200"/>
        <c:crosses val="autoZero"/>
        <c:auto val="1"/>
        <c:lblAlgn val="ctr"/>
        <c:lblOffset val="100"/>
        <c:noMultiLvlLbl val="0"/>
      </c:catAx>
      <c:valAx>
        <c:axId val="1964577200"/>
        <c:scaling>
          <c:orientation val="minMax"/>
        </c:scaling>
        <c:delete val="1"/>
        <c:axPos val="l"/>
        <c:numFmt formatCode="0" sourceLinked="1"/>
        <c:majorTickMark val="none"/>
        <c:minorTickMark val="none"/>
        <c:tickLblPos val="nextTo"/>
        <c:crossAx val="1964578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marker>
          <c:symbol val="none"/>
        </c:marker>
        <c:dLbl>
          <c:idx val="0"/>
          <c:spPr>
            <a:solidFill>
              <a:schemeClr val="bg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79704045614984E-2"/>
          <c:y val="6.0085405990917801E-2"/>
          <c:w val="0.87644787644787647"/>
          <c:h val="0.663718701828938"/>
        </c:manualLayout>
      </c:layout>
      <c:areaChart>
        <c:grouping val="standard"/>
        <c:varyColors val="0"/>
        <c:ser>
          <c:idx val="0"/>
          <c:order val="0"/>
          <c:tx>
            <c:strRef>
              <c:f>'Pivot Report'!$G$7</c:f>
              <c:strCache>
                <c:ptCount val="1"/>
                <c:pt idx="0">
                  <c:v>Total</c:v>
                </c:pt>
              </c:strCache>
            </c:strRef>
          </c:tx>
          <c:spPr>
            <a:solidFill>
              <a:schemeClr val="accent5">
                <a:lumMod val="50000"/>
              </a:schemeClr>
            </a:solidFill>
            <a:ln>
              <a:noFill/>
            </a:ln>
            <a:effectLst/>
          </c:spPr>
          <c:dLbls>
            <c:spPr>
              <a:solidFill>
                <a:schemeClr val="bg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Report'!$F$8:$F$35</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Report'!$G$8:$G$35</c:f>
              <c:numCache>
                <c:formatCode>0</c:formatCode>
                <c:ptCount val="27"/>
                <c:pt idx="0">
                  <c:v>12</c:v>
                </c:pt>
                <c:pt idx="1">
                  <c:v>20</c:v>
                </c:pt>
                <c:pt idx="2">
                  <c:v>19</c:v>
                </c:pt>
                <c:pt idx="3">
                  <c:v>16</c:v>
                </c:pt>
                <c:pt idx="4">
                  <c:v>12</c:v>
                </c:pt>
                <c:pt idx="5">
                  <c:v>15</c:v>
                </c:pt>
                <c:pt idx="6">
                  <c:v>19</c:v>
                </c:pt>
                <c:pt idx="7">
                  <c:v>17</c:v>
                </c:pt>
                <c:pt idx="8">
                  <c:v>7</c:v>
                </c:pt>
                <c:pt idx="9">
                  <c:v>12</c:v>
                </c:pt>
                <c:pt idx="10">
                  <c:v>13</c:v>
                </c:pt>
                <c:pt idx="11">
                  <c:v>26</c:v>
                </c:pt>
                <c:pt idx="12">
                  <c:v>22</c:v>
                </c:pt>
                <c:pt idx="13">
                  <c:v>16</c:v>
                </c:pt>
                <c:pt idx="14">
                  <c:v>12</c:v>
                </c:pt>
                <c:pt idx="15">
                  <c:v>21</c:v>
                </c:pt>
                <c:pt idx="16">
                  <c:v>12</c:v>
                </c:pt>
                <c:pt idx="17">
                  <c:v>15</c:v>
                </c:pt>
                <c:pt idx="18">
                  <c:v>23</c:v>
                </c:pt>
                <c:pt idx="19">
                  <c:v>15</c:v>
                </c:pt>
                <c:pt idx="20">
                  <c:v>15</c:v>
                </c:pt>
                <c:pt idx="21">
                  <c:v>14</c:v>
                </c:pt>
                <c:pt idx="22">
                  <c:v>19</c:v>
                </c:pt>
                <c:pt idx="23">
                  <c:v>17</c:v>
                </c:pt>
                <c:pt idx="24">
                  <c:v>16</c:v>
                </c:pt>
                <c:pt idx="25">
                  <c:v>15</c:v>
                </c:pt>
                <c:pt idx="26">
                  <c:v>19</c:v>
                </c:pt>
              </c:numCache>
            </c:numRef>
          </c:val>
          <c:extLst>
            <c:ext xmlns:c16="http://schemas.microsoft.com/office/drawing/2014/chart" uri="{C3380CC4-5D6E-409C-BE32-E72D297353CC}">
              <c16:uniqueId val="{00000000-E1E1-443E-AFC7-3D7FD5C83EC1}"/>
            </c:ext>
          </c:extLst>
        </c:ser>
        <c:dLbls>
          <c:showLegendKey val="0"/>
          <c:showVal val="0"/>
          <c:showCatName val="0"/>
          <c:showSerName val="0"/>
          <c:showPercent val="0"/>
          <c:showBubbleSize val="0"/>
        </c:dLbls>
        <c:axId val="525540223"/>
        <c:axId val="525542719"/>
      </c:areaChart>
      <c:catAx>
        <c:axId val="52554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542719"/>
        <c:crosses val="autoZero"/>
        <c:auto val="1"/>
        <c:lblAlgn val="ctr"/>
        <c:lblOffset val="100"/>
        <c:noMultiLvlLbl val="0"/>
      </c:catAx>
      <c:valAx>
        <c:axId val="5255427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540223"/>
        <c:crosses val="autoZero"/>
        <c:crossBetween val="midCat"/>
      </c:valAx>
      <c:spPr>
        <a:noFill/>
        <a:ln>
          <a:noFill/>
        </a:ln>
        <a:effectLst/>
      </c:spPr>
    </c:plotArea>
    <c:plotVisOnly val="1"/>
    <c:dispBlanksAs val="zero"/>
    <c:showDLblsOverMax val="0"/>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82939834288587E-2"/>
          <c:y val="5.0925925925925923E-2"/>
          <c:w val="0.88676608544608326"/>
          <c:h val="0.77733194808982209"/>
        </c:manualLayout>
      </c:layout>
      <c:areaChart>
        <c:grouping val="standard"/>
        <c:varyColors val="0"/>
        <c:ser>
          <c:idx val="0"/>
          <c:order val="0"/>
          <c:tx>
            <c:strRef>
              <c:f>'Pivot Report'!$K$7</c:f>
              <c:strCache>
                <c:ptCount val="1"/>
                <c:pt idx="0">
                  <c:v>Total</c:v>
                </c:pt>
              </c:strCache>
            </c:strRef>
          </c:tx>
          <c:spPr>
            <a:solidFill>
              <a:schemeClr val="accent5">
                <a:lumMod val="5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Report'!$J$8:$J$35</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Report'!$K$8:$K$35</c:f>
              <c:numCache>
                <c:formatCode>0</c:formatCode>
                <c:ptCount val="27"/>
                <c:pt idx="0">
                  <c:v>36.416666666666664</c:v>
                </c:pt>
                <c:pt idx="1">
                  <c:v>35.549999999999997</c:v>
                </c:pt>
                <c:pt idx="2">
                  <c:v>37.368421052631582</c:v>
                </c:pt>
                <c:pt idx="3">
                  <c:v>30.9375</c:v>
                </c:pt>
                <c:pt idx="4">
                  <c:v>28.25</c:v>
                </c:pt>
                <c:pt idx="5">
                  <c:v>43.466666666666669</c:v>
                </c:pt>
                <c:pt idx="6">
                  <c:v>36.05263157894737</c:v>
                </c:pt>
                <c:pt idx="7">
                  <c:v>39.764705882352942</c:v>
                </c:pt>
                <c:pt idx="8">
                  <c:v>33.857142857142854</c:v>
                </c:pt>
                <c:pt idx="9">
                  <c:v>32</c:v>
                </c:pt>
                <c:pt idx="10">
                  <c:v>37.615384615384613</c:v>
                </c:pt>
                <c:pt idx="11">
                  <c:v>37.384615384615387</c:v>
                </c:pt>
                <c:pt idx="12">
                  <c:v>33.954545454545453</c:v>
                </c:pt>
                <c:pt idx="13">
                  <c:v>32.5</c:v>
                </c:pt>
                <c:pt idx="14">
                  <c:v>37.25</c:v>
                </c:pt>
                <c:pt idx="15">
                  <c:v>34.047619047619051</c:v>
                </c:pt>
                <c:pt idx="16">
                  <c:v>34.583333333333336</c:v>
                </c:pt>
                <c:pt idx="17">
                  <c:v>31</c:v>
                </c:pt>
                <c:pt idx="18">
                  <c:v>33.347826086956523</c:v>
                </c:pt>
                <c:pt idx="19">
                  <c:v>33.799999999999997</c:v>
                </c:pt>
                <c:pt idx="20">
                  <c:v>32.466666666666669</c:v>
                </c:pt>
                <c:pt idx="21">
                  <c:v>36.642857142857146</c:v>
                </c:pt>
                <c:pt idx="22">
                  <c:v>32.631578947368418</c:v>
                </c:pt>
                <c:pt idx="23">
                  <c:v>32.176470588235297</c:v>
                </c:pt>
                <c:pt idx="24">
                  <c:v>33.5</c:v>
                </c:pt>
                <c:pt idx="25">
                  <c:v>33.200000000000003</c:v>
                </c:pt>
                <c:pt idx="26">
                  <c:v>35.89473684210526</c:v>
                </c:pt>
              </c:numCache>
            </c:numRef>
          </c:val>
          <c:extLst>
            <c:ext xmlns:c16="http://schemas.microsoft.com/office/drawing/2014/chart" uri="{C3380CC4-5D6E-409C-BE32-E72D297353CC}">
              <c16:uniqueId val="{00000000-D527-479A-8954-9356341E98A3}"/>
            </c:ext>
          </c:extLst>
        </c:ser>
        <c:dLbls>
          <c:showLegendKey val="0"/>
          <c:showVal val="0"/>
          <c:showCatName val="0"/>
          <c:showSerName val="0"/>
          <c:showPercent val="0"/>
          <c:showBubbleSize val="0"/>
        </c:dLbls>
        <c:axId val="1961999424"/>
        <c:axId val="1961996928"/>
      </c:areaChart>
      <c:catAx>
        <c:axId val="1961999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996928"/>
        <c:crosses val="autoZero"/>
        <c:auto val="1"/>
        <c:lblAlgn val="ctr"/>
        <c:lblOffset val="100"/>
        <c:noMultiLvlLbl val="0"/>
      </c:catAx>
      <c:valAx>
        <c:axId val="1961996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9994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016656821442248E-2"/>
          <c:y val="5.0925925925925923E-2"/>
          <c:w val="0.89503930516517261"/>
          <c:h val="0.77733194808982209"/>
        </c:manualLayout>
      </c:layout>
      <c:areaChart>
        <c:grouping val="standard"/>
        <c:varyColors val="0"/>
        <c:ser>
          <c:idx val="0"/>
          <c:order val="0"/>
          <c:tx>
            <c:strRef>
              <c:f>'Pivot Report'!$N$7</c:f>
              <c:strCache>
                <c:ptCount val="1"/>
                <c:pt idx="0">
                  <c:v>Total</c:v>
                </c:pt>
              </c:strCache>
            </c:strRef>
          </c:tx>
          <c:spPr>
            <a:solidFill>
              <a:schemeClr val="accent5">
                <a:lumMod val="5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Report'!$M$8:$M$35</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Report'!$N$8:$N$35</c:f>
              <c:numCache>
                <c:formatCode>0</c:formatCode>
                <c:ptCount val="27"/>
                <c:pt idx="0">
                  <c:v>5.25</c:v>
                </c:pt>
                <c:pt idx="1">
                  <c:v>5</c:v>
                </c:pt>
                <c:pt idx="2">
                  <c:v>5.7142857142857144</c:v>
                </c:pt>
                <c:pt idx="3">
                  <c:v>7</c:v>
                </c:pt>
                <c:pt idx="4">
                  <c:v>6.666666666666667</c:v>
                </c:pt>
                <c:pt idx="5">
                  <c:v>1.5</c:v>
                </c:pt>
                <c:pt idx="6">
                  <c:v>5</c:v>
                </c:pt>
                <c:pt idx="7">
                  <c:v>4.5999999999999996</c:v>
                </c:pt>
                <c:pt idx="8">
                  <c:v>6.5</c:v>
                </c:pt>
                <c:pt idx="9">
                  <c:v>5</c:v>
                </c:pt>
                <c:pt idx="10">
                  <c:v>6.5</c:v>
                </c:pt>
                <c:pt idx="11">
                  <c:v>4.1111111111111107</c:v>
                </c:pt>
                <c:pt idx="12">
                  <c:v>6.6</c:v>
                </c:pt>
                <c:pt idx="13">
                  <c:v>5.2</c:v>
                </c:pt>
                <c:pt idx="14">
                  <c:v>5.5</c:v>
                </c:pt>
                <c:pt idx="15">
                  <c:v>3.3333333333333335</c:v>
                </c:pt>
                <c:pt idx="16">
                  <c:v>5</c:v>
                </c:pt>
                <c:pt idx="17">
                  <c:v>6.5</c:v>
                </c:pt>
                <c:pt idx="18">
                  <c:v>3</c:v>
                </c:pt>
                <c:pt idx="19">
                  <c:v>5.333333333333333</c:v>
                </c:pt>
                <c:pt idx="20">
                  <c:v>7.333333333333333</c:v>
                </c:pt>
                <c:pt idx="21">
                  <c:v>5.6</c:v>
                </c:pt>
                <c:pt idx="22">
                  <c:v>4.4000000000000004</c:v>
                </c:pt>
                <c:pt idx="23">
                  <c:v>4</c:v>
                </c:pt>
                <c:pt idx="24">
                  <c:v>3</c:v>
                </c:pt>
                <c:pt idx="25">
                  <c:v>5.666666666666667</c:v>
                </c:pt>
                <c:pt idx="26">
                  <c:v>5.8571428571428568</c:v>
                </c:pt>
              </c:numCache>
            </c:numRef>
          </c:val>
          <c:extLst>
            <c:ext xmlns:c16="http://schemas.microsoft.com/office/drawing/2014/chart" uri="{C3380CC4-5D6E-409C-BE32-E72D297353CC}">
              <c16:uniqueId val="{00000000-CB4C-4F15-AD6B-BC062654BB61}"/>
            </c:ext>
          </c:extLst>
        </c:ser>
        <c:dLbls>
          <c:showLegendKey val="0"/>
          <c:showVal val="0"/>
          <c:showCatName val="0"/>
          <c:showSerName val="0"/>
          <c:showPercent val="0"/>
          <c:showBubbleSize val="0"/>
        </c:dLbls>
        <c:axId val="1964578864"/>
        <c:axId val="1964577200"/>
      </c:areaChart>
      <c:catAx>
        <c:axId val="1964578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577200"/>
        <c:crosses val="autoZero"/>
        <c:auto val="1"/>
        <c:lblAlgn val="ctr"/>
        <c:lblOffset val="100"/>
        <c:noMultiLvlLbl val="0"/>
      </c:catAx>
      <c:valAx>
        <c:axId val="1964577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578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hyperlink" Target="#'Daily no.of patients'!A1"/><Relationship Id="rId1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hyperlink" Target="#'Satisfaction score'!A1"/><Relationship Id="rId2" Type="http://schemas.openxmlformats.org/officeDocument/2006/relationships/chart" Target="../charts/chart2.xml"/><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7.png"/><Relationship Id="rId5" Type="http://schemas.openxmlformats.org/officeDocument/2006/relationships/image" Target="../media/image2.emf"/><Relationship Id="rId15" Type="http://schemas.openxmlformats.org/officeDocument/2006/relationships/hyperlink" Target="#'Average wait time'!A1"/><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14</xdr:col>
      <xdr:colOff>412750</xdr:colOff>
      <xdr:row>3</xdr:row>
      <xdr:rowOff>69850</xdr:rowOff>
    </xdr:from>
    <xdr:to>
      <xdr:col>17</xdr:col>
      <xdr:colOff>412750</xdr:colOff>
      <xdr:row>17</xdr:row>
      <xdr:rowOff>15875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2CDD0D65-B9E2-4AE5-B30E-1827E2E1B7E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977100" y="622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1085850</xdr:colOff>
      <xdr:row>27</xdr:row>
      <xdr:rowOff>92075</xdr:rowOff>
    </xdr:from>
    <xdr:to>
      <xdr:col>4</xdr:col>
      <xdr:colOff>349250</xdr:colOff>
      <xdr:row>30</xdr:row>
      <xdr:rowOff>95250</xdr:rowOff>
    </xdr:to>
    <xdr:graphicFrame macro="">
      <xdr:nvGraphicFramePr>
        <xdr:cNvPr id="8" name="Chart 7">
          <a:extLst>
            <a:ext uri="{FF2B5EF4-FFF2-40B4-BE49-F238E27FC236}">
              <a16:creationId xmlns:a16="http://schemas.microsoft.com/office/drawing/2014/main" id="{D6A34E9D-9526-400B-A6E9-1C2A44573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0</xdr:row>
      <xdr:rowOff>63500</xdr:rowOff>
    </xdr:from>
    <xdr:to>
      <xdr:col>12</xdr:col>
      <xdr:colOff>279400</xdr:colOff>
      <xdr:row>9</xdr:row>
      <xdr:rowOff>107950</xdr:rowOff>
    </xdr:to>
    <xdr:sp macro="" textlink="">
      <xdr:nvSpPr>
        <xdr:cNvPr id="4" name="Rectangle: Rounded Corners 3">
          <a:extLst>
            <a:ext uri="{FF2B5EF4-FFF2-40B4-BE49-F238E27FC236}">
              <a16:creationId xmlns:a16="http://schemas.microsoft.com/office/drawing/2014/main" id="{73AFA74F-0DF8-444D-837E-6F0F53C53204}"/>
            </a:ext>
          </a:extLst>
        </xdr:cNvPr>
        <xdr:cNvSpPr/>
      </xdr:nvSpPr>
      <xdr:spPr>
        <a:xfrm>
          <a:off x="5486400" y="63500"/>
          <a:ext cx="2108200" cy="1701800"/>
        </a:xfrm>
        <a:prstGeom prst="roundRect">
          <a:avLst>
            <a:gd name="adj" fmla="val 356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330200</xdr:colOff>
      <xdr:row>0</xdr:row>
      <xdr:rowOff>63500</xdr:rowOff>
    </xdr:from>
    <xdr:to>
      <xdr:col>16</xdr:col>
      <xdr:colOff>0</xdr:colOff>
      <xdr:row>9</xdr:row>
      <xdr:rowOff>107950</xdr:rowOff>
    </xdr:to>
    <xdr:sp macro="" textlink="">
      <xdr:nvSpPr>
        <xdr:cNvPr id="5" name="Rectangle: Rounded Corners 4">
          <a:extLst>
            <a:ext uri="{FF2B5EF4-FFF2-40B4-BE49-F238E27FC236}">
              <a16:creationId xmlns:a16="http://schemas.microsoft.com/office/drawing/2014/main" id="{3C25745E-8CA0-41B0-B6C6-B5C4B9F690DB}"/>
            </a:ext>
          </a:extLst>
        </xdr:cNvPr>
        <xdr:cNvSpPr/>
      </xdr:nvSpPr>
      <xdr:spPr>
        <a:xfrm>
          <a:off x="7645400" y="63500"/>
          <a:ext cx="2108200" cy="1701800"/>
        </a:xfrm>
        <a:prstGeom prst="roundRect">
          <a:avLst>
            <a:gd name="adj" fmla="val 2905"/>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9</xdr:row>
      <xdr:rowOff>171450</xdr:rowOff>
    </xdr:from>
    <xdr:to>
      <xdr:col>16</xdr:col>
      <xdr:colOff>0</xdr:colOff>
      <xdr:row>20</xdr:row>
      <xdr:rowOff>171450</xdr:rowOff>
    </xdr:to>
    <xdr:sp macro="" textlink="">
      <xdr:nvSpPr>
        <xdr:cNvPr id="6" name="Rectangle: Rounded Corners 5">
          <a:extLst>
            <a:ext uri="{FF2B5EF4-FFF2-40B4-BE49-F238E27FC236}">
              <a16:creationId xmlns:a16="http://schemas.microsoft.com/office/drawing/2014/main" id="{B6ABBCA6-4210-4072-B620-046F50417E7B}"/>
            </a:ext>
          </a:extLst>
        </xdr:cNvPr>
        <xdr:cNvSpPr/>
      </xdr:nvSpPr>
      <xdr:spPr>
        <a:xfrm>
          <a:off x="5486400" y="1828800"/>
          <a:ext cx="4267200" cy="2025650"/>
        </a:xfrm>
        <a:prstGeom prst="roundRect">
          <a:avLst>
            <a:gd name="adj" fmla="val 283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44450</xdr:colOff>
      <xdr:row>0</xdr:row>
      <xdr:rowOff>63500</xdr:rowOff>
    </xdr:from>
    <xdr:to>
      <xdr:col>6</xdr:col>
      <xdr:colOff>44450</xdr:colOff>
      <xdr:row>4</xdr:row>
      <xdr:rowOff>0</xdr:rowOff>
    </xdr:to>
    <xdr:sp macro="" textlink="">
      <xdr:nvSpPr>
        <xdr:cNvPr id="7" name="Rectangle: Rounded Corners 6">
          <a:extLst>
            <a:ext uri="{FF2B5EF4-FFF2-40B4-BE49-F238E27FC236}">
              <a16:creationId xmlns:a16="http://schemas.microsoft.com/office/drawing/2014/main" id="{1CCE4DE1-E4CF-45C6-AE54-ED589447A1D0}"/>
            </a:ext>
          </a:extLst>
        </xdr:cNvPr>
        <xdr:cNvSpPr/>
      </xdr:nvSpPr>
      <xdr:spPr>
        <a:xfrm>
          <a:off x="44450" y="63500"/>
          <a:ext cx="3657600" cy="673100"/>
        </a:xfrm>
        <a:prstGeom prst="roundRect">
          <a:avLst>
            <a:gd name="adj" fmla="val 879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44450</xdr:colOff>
      <xdr:row>0</xdr:row>
      <xdr:rowOff>107950</xdr:rowOff>
    </xdr:from>
    <xdr:to>
      <xdr:col>1</xdr:col>
      <xdr:colOff>349250</xdr:colOff>
      <xdr:row>3</xdr:row>
      <xdr:rowOff>107950</xdr:rowOff>
    </xdr:to>
    <xdr:pic>
      <xdr:nvPicPr>
        <xdr:cNvPr id="11" name="Picture 10">
          <a:extLst>
            <a:ext uri="{FF2B5EF4-FFF2-40B4-BE49-F238E27FC236}">
              <a16:creationId xmlns:a16="http://schemas.microsoft.com/office/drawing/2014/main" id="{C38666DF-1669-4900-BB1F-19A6D7A6E9E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571" t="1852" r="6169" b="7407"/>
        <a:stretch/>
      </xdr:blipFill>
      <xdr:spPr>
        <a:xfrm>
          <a:off x="44450" y="107950"/>
          <a:ext cx="914400" cy="552450"/>
        </a:xfrm>
        <a:prstGeom prst="rect">
          <a:avLst/>
        </a:prstGeom>
      </xdr:spPr>
    </xdr:pic>
    <xdr:clientData/>
  </xdr:twoCellAnchor>
  <xdr:twoCellAnchor>
    <xdr:from>
      <xdr:col>1</xdr:col>
      <xdr:colOff>273050</xdr:colOff>
      <xdr:row>1</xdr:row>
      <xdr:rowOff>107950</xdr:rowOff>
    </xdr:from>
    <xdr:to>
      <xdr:col>5</xdr:col>
      <xdr:colOff>571500</xdr:colOff>
      <xdr:row>3</xdr:row>
      <xdr:rowOff>107950</xdr:rowOff>
    </xdr:to>
    <xdr:sp macro="" textlink="">
      <xdr:nvSpPr>
        <xdr:cNvPr id="12" name="TextBox 11">
          <a:extLst>
            <a:ext uri="{FF2B5EF4-FFF2-40B4-BE49-F238E27FC236}">
              <a16:creationId xmlns:a16="http://schemas.microsoft.com/office/drawing/2014/main" id="{250CFE4F-1D71-4E37-90F3-BF2CC894843C}"/>
            </a:ext>
          </a:extLst>
        </xdr:cNvPr>
        <xdr:cNvSpPr txBox="1"/>
      </xdr:nvSpPr>
      <xdr:spPr>
        <a:xfrm>
          <a:off x="882650" y="292100"/>
          <a:ext cx="273685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latin typeface="Times New Roman" panose="02020603050405020304" pitchFamily="18" charset="0"/>
              <a:cs typeface="Times New Roman" panose="02020603050405020304" pitchFamily="18" charset="0"/>
            </a:rPr>
            <a:t>Hospital Emergency Room </a:t>
          </a:r>
          <a:r>
            <a:rPr lang="en-US" sz="1300">
              <a:ln>
                <a:noFill/>
              </a:ln>
              <a:latin typeface="Times New Roman" panose="02020603050405020304" pitchFamily="18" charset="0"/>
              <a:cs typeface="Times New Roman" panose="02020603050405020304" pitchFamily="18" charset="0"/>
            </a:rPr>
            <a:t>Dashboard</a:t>
          </a:r>
        </a:p>
      </xdr:txBody>
    </xdr:sp>
    <xdr:clientData/>
  </xdr:twoCellAnchor>
  <xdr:twoCellAnchor>
    <xdr:from>
      <xdr:col>6</xdr:col>
      <xdr:colOff>88899</xdr:colOff>
      <xdr:row>0</xdr:row>
      <xdr:rowOff>63500</xdr:rowOff>
    </xdr:from>
    <xdr:to>
      <xdr:col>8</xdr:col>
      <xdr:colOff>565150</xdr:colOff>
      <xdr:row>4</xdr:row>
      <xdr:rowOff>0</xdr:rowOff>
    </xdr:to>
    <xdr:sp macro="" textlink="">
      <xdr:nvSpPr>
        <xdr:cNvPr id="14" name="Rectangle: Rounded Corners 13">
          <a:extLst>
            <a:ext uri="{FF2B5EF4-FFF2-40B4-BE49-F238E27FC236}">
              <a16:creationId xmlns:a16="http://schemas.microsoft.com/office/drawing/2014/main" id="{3F5F24B8-10FD-45C4-AD71-E76B67FBB8B9}"/>
            </a:ext>
          </a:extLst>
        </xdr:cNvPr>
        <xdr:cNvSpPr/>
      </xdr:nvSpPr>
      <xdr:spPr>
        <a:xfrm>
          <a:off x="3746499" y="63500"/>
          <a:ext cx="1695451" cy="673100"/>
        </a:xfrm>
        <a:prstGeom prst="roundRect">
          <a:avLst>
            <a:gd name="adj" fmla="val 879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44450</xdr:colOff>
      <xdr:row>4</xdr:row>
      <xdr:rowOff>63500</xdr:rowOff>
    </xdr:from>
    <xdr:to>
      <xdr:col>1</xdr:col>
      <xdr:colOff>349250</xdr:colOff>
      <xdr:row>21</xdr:row>
      <xdr:rowOff>0</xdr:rowOff>
    </xdr:to>
    <xdr:sp macro="" textlink="">
      <xdr:nvSpPr>
        <xdr:cNvPr id="15" name="Rectangle: Rounded Corners 14">
          <a:extLst>
            <a:ext uri="{FF2B5EF4-FFF2-40B4-BE49-F238E27FC236}">
              <a16:creationId xmlns:a16="http://schemas.microsoft.com/office/drawing/2014/main" id="{03A39D51-AD0F-4D23-96CF-600566988E4F}"/>
            </a:ext>
          </a:extLst>
        </xdr:cNvPr>
        <xdr:cNvSpPr/>
      </xdr:nvSpPr>
      <xdr:spPr>
        <a:xfrm>
          <a:off x="44450" y="800100"/>
          <a:ext cx="914400" cy="3067050"/>
        </a:xfrm>
        <a:prstGeom prst="roundRect">
          <a:avLst>
            <a:gd name="adj" fmla="val 879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412749</xdr:colOff>
      <xdr:row>13</xdr:row>
      <xdr:rowOff>0</xdr:rowOff>
    </xdr:from>
    <xdr:to>
      <xdr:col>8</xdr:col>
      <xdr:colOff>571500</xdr:colOff>
      <xdr:row>20</xdr:row>
      <xdr:rowOff>171450</xdr:rowOff>
    </xdr:to>
    <xdr:sp macro="" textlink="">
      <xdr:nvSpPr>
        <xdr:cNvPr id="16" name="Rectangle: Rounded Corners 15">
          <a:extLst>
            <a:ext uri="{FF2B5EF4-FFF2-40B4-BE49-F238E27FC236}">
              <a16:creationId xmlns:a16="http://schemas.microsoft.com/office/drawing/2014/main" id="{5F5F4094-B91A-49EE-B32B-B9688C65E3DD}"/>
            </a:ext>
          </a:extLst>
        </xdr:cNvPr>
        <xdr:cNvSpPr/>
      </xdr:nvSpPr>
      <xdr:spPr>
        <a:xfrm>
          <a:off x="1022349" y="2393950"/>
          <a:ext cx="4425951" cy="1460500"/>
        </a:xfrm>
        <a:prstGeom prst="roundRect">
          <a:avLst>
            <a:gd name="adj" fmla="val 426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208893</xdr:colOff>
      <xdr:row>0</xdr:row>
      <xdr:rowOff>107950</xdr:rowOff>
    </xdr:from>
    <xdr:to>
      <xdr:col>12</xdr:col>
      <xdr:colOff>0</xdr:colOff>
      <xdr:row>8</xdr:row>
      <xdr:rowOff>50069</xdr:rowOff>
    </xdr:to>
    <xdr:graphicFrame macro="">
      <xdr:nvGraphicFramePr>
        <xdr:cNvPr id="17" name="Chart 16">
          <a:extLst>
            <a:ext uri="{FF2B5EF4-FFF2-40B4-BE49-F238E27FC236}">
              <a16:creationId xmlns:a16="http://schemas.microsoft.com/office/drawing/2014/main" id="{455BB13B-A689-4D33-8F03-0AA5B3645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151743</xdr:colOff>
      <xdr:row>8</xdr:row>
      <xdr:rowOff>0</xdr:rowOff>
    </xdr:from>
    <xdr:to>
      <xdr:col>13</xdr:col>
      <xdr:colOff>0</xdr:colOff>
      <xdr:row>9</xdr:row>
      <xdr:rowOff>82550</xdr:rowOff>
    </xdr:to>
    <xdr:sp macro="" textlink="">
      <xdr:nvSpPr>
        <xdr:cNvPr id="18" name="TextBox 17">
          <a:extLst>
            <a:ext uri="{FF2B5EF4-FFF2-40B4-BE49-F238E27FC236}">
              <a16:creationId xmlns:a16="http://schemas.microsoft.com/office/drawing/2014/main" id="{D4A60123-B572-4A7F-AC58-8FBEB4D66C98}"/>
            </a:ext>
          </a:extLst>
        </xdr:cNvPr>
        <xdr:cNvSpPr txBox="1"/>
      </xdr:nvSpPr>
      <xdr:spPr>
        <a:xfrm>
          <a:off x="5638143" y="1473200"/>
          <a:ext cx="228665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latin typeface="Times New Roman" panose="02020603050405020304" pitchFamily="18" charset="0"/>
              <a:cs typeface="Times New Roman" panose="02020603050405020304" pitchFamily="18" charset="0"/>
            </a:rPr>
            <a:t>Patients</a:t>
          </a:r>
          <a:r>
            <a:rPr lang="en-US" sz="1100" baseline="0">
              <a:ln>
                <a:noFill/>
              </a:ln>
              <a:latin typeface="Times New Roman" panose="02020603050405020304" pitchFamily="18" charset="0"/>
              <a:cs typeface="Times New Roman" panose="02020603050405020304" pitchFamily="18" charset="0"/>
            </a:rPr>
            <a:t> attended within Time</a:t>
          </a:r>
          <a:endParaRPr lang="en-US" sz="1100">
            <a:ln>
              <a:noFill/>
            </a:ln>
            <a:latin typeface="Times New Roman" panose="02020603050405020304" pitchFamily="18" charset="0"/>
            <a:cs typeface="Times New Roman" panose="02020603050405020304" pitchFamily="18" charset="0"/>
          </a:endParaRPr>
        </a:p>
      </xdr:txBody>
    </xdr:sp>
    <xdr:clientData/>
  </xdr:twoCellAnchor>
  <xdr:twoCellAnchor>
    <xdr:from>
      <xdr:col>12</xdr:col>
      <xdr:colOff>330200</xdr:colOff>
      <xdr:row>0</xdr:row>
      <xdr:rowOff>107950</xdr:rowOff>
    </xdr:from>
    <xdr:to>
      <xdr:col>15</xdr:col>
      <xdr:colOff>289911</xdr:colOff>
      <xdr:row>9</xdr:row>
      <xdr:rowOff>89666</xdr:rowOff>
    </xdr:to>
    <xdr:graphicFrame macro="">
      <xdr:nvGraphicFramePr>
        <xdr:cNvPr id="19" name="Chart 18">
          <a:extLst>
            <a:ext uri="{FF2B5EF4-FFF2-40B4-BE49-F238E27FC236}">
              <a16:creationId xmlns:a16="http://schemas.microsoft.com/office/drawing/2014/main" id="{9D526594-60DF-4E1C-842B-EFD634EA8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94593</xdr:colOff>
      <xdr:row>8</xdr:row>
      <xdr:rowOff>0</xdr:rowOff>
    </xdr:from>
    <xdr:to>
      <xdr:col>16</xdr:col>
      <xdr:colOff>552450</xdr:colOff>
      <xdr:row>9</xdr:row>
      <xdr:rowOff>82550</xdr:rowOff>
    </xdr:to>
    <xdr:sp macro="" textlink="">
      <xdr:nvSpPr>
        <xdr:cNvPr id="20" name="TextBox 19">
          <a:extLst>
            <a:ext uri="{FF2B5EF4-FFF2-40B4-BE49-F238E27FC236}">
              <a16:creationId xmlns:a16="http://schemas.microsoft.com/office/drawing/2014/main" id="{EE1CF353-A456-47EF-A426-CC37E08ED05D}"/>
            </a:ext>
          </a:extLst>
        </xdr:cNvPr>
        <xdr:cNvSpPr txBox="1"/>
      </xdr:nvSpPr>
      <xdr:spPr>
        <a:xfrm>
          <a:off x="8019393" y="1473200"/>
          <a:ext cx="228665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latin typeface="Times New Roman" panose="02020603050405020304" pitchFamily="18" charset="0"/>
              <a:cs typeface="Times New Roman" panose="02020603050405020304" pitchFamily="18" charset="0"/>
            </a:rPr>
            <a:t>Gender</a:t>
          </a:r>
          <a:r>
            <a:rPr lang="en-US" sz="1100" baseline="0">
              <a:ln>
                <a:noFill/>
              </a:ln>
              <a:latin typeface="Times New Roman" panose="02020603050405020304" pitchFamily="18" charset="0"/>
              <a:cs typeface="Times New Roman" panose="02020603050405020304" pitchFamily="18" charset="0"/>
            </a:rPr>
            <a:t> Wise Analysis</a:t>
          </a:r>
        </a:p>
        <a:p>
          <a:endParaRPr lang="en-US" sz="1100">
            <a:ln>
              <a:noFill/>
            </a:ln>
            <a:latin typeface="Times New Roman" panose="02020603050405020304" pitchFamily="18" charset="0"/>
            <a:cs typeface="Times New Roman" panose="02020603050405020304" pitchFamily="18" charset="0"/>
          </a:endParaRPr>
        </a:p>
      </xdr:txBody>
    </xdr:sp>
    <xdr:clientData/>
  </xdr:twoCellAnchor>
  <xdr:twoCellAnchor>
    <xdr:from>
      <xdr:col>9</xdr:col>
      <xdr:colOff>223782</xdr:colOff>
      <xdr:row>9</xdr:row>
      <xdr:rowOff>104629</xdr:rowOff>
    </xdr:from>
    <xdr:to>
      <xdr:col>14</xdr:col>
      <xdr:colOff>577850</xdr:colOff>
      <xdr:row>19</xdr:row>
      <xdr:rowOff>100542</xdr:rowOff>
    </xdr:to>
    <xdr:graphicFrame macro="">
      <xdr:nvGraphicFramePr>
        <xdr:cNvPr id="21" name="Chart 20">
          <a:extLst>
            <a:ext uri="{FF2B5EF4-FFF2-40B4-BE49-F238E27FC236}">
              <a16:creationId xmlns:a16="http://schemas.microsoft.com/office/drawing/2014/main" id="{80BDE482-8D62-400D-9FD8-4ACDE8257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133350</xdr:colOff>
      <xdr:row>1</xdr:row>
      <xdr:rowOff>149407</xdr:rowOff>
    </xdr:from>
    <xdr:to>
      <xdr:col>8</xdr:col>
      <xdr:colOff>425450</xdr:colOff>
      <xdr:row>4</xdr:row>
      <xdr:rowOff>0</xdr:rowOff>
    </xdr:to>
    <mc:AlternateContent xmlns:mc="http://schemas.openxmlformats.org/markup-compatibility/2006" xmlns:a14="http://schemas.microsoft.com/office/drawing/2010/main">
      <mc:Choice Requires="a14">
        <xdr:graphicFrame macro="">
          <xdr:nvGraphicFramePr>
            <xdr:cNvPr id="22" name="Date (Year) 2">
              <a:extLst>
                <a:ext uri="{FF2B5EF4-FFF2-40B4-BE49-F238E27FC236}">
                  <a16:creationId xmlns:a16="http://schemas.microsoft.com/office/drawing/2014/main" id="{24A00CB6-9505-43F4-A3C2-6795F6AA30B7}"/>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3790950" y="333557"/>
              <a:ext cx="1511300" cy="403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438151</xdr:colOff>
      <xdr:row>0</xdr:row>
      <xdr:rowOff>95250</xdr:rowOff>
    </xdr:from>
    <xdr:to>
      <xdr:col>8</xdr:col>
      <xdr:colOff>400050</xdr:colOff>
      <xdr:row>1</xdr:row>
      <xdr:rowOff>177800</xdr:rowOff>
    </xdr:to>
    <xdr:sp macro="" textlink="">
      <xdr:nvSpPr>
        <xdr:cNvPr id="23" name="TextBox 22">
          <a:extLst>
            <a:ext uri="{FF2B5EF4-FFF2-40B4-BE49-F238E27FC236}">
              <a16:creationId xmlns:a16="http://schemas.microsoft.com/office/drawing/2014/main" id="{A2FD1A61-6C66-4175-8059-0463C1D38E79}"/>
            </a:ext>
          </a:extLst>
        </xdr:cNvPr>
        <xdr:cNvSpPr txBox="1"/>
      </xdr:nvSpPr>
      <xdr:spPr>
        <a:xfrm>
          <a:off x="4095751" y="95250"/>
          <a:ext cx="11810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latin typeface="Times New Roman" panose="02020603050405020304" pitchFamily="18" charset="0"/>
              <a:cs typeface="Times New Roman" panose="02020603050405020304" pitchFamily="18" charset="0"/>
            </a:rPr>
            <a:t>Select</a:t>
          </a:r>
          <a:r>
            <a:rPr lang="en-US" sz="1100" baseline="0">
              <a:ln>
                <a:noFill/>
              </a:ln>
              <a:latin typeface="Times New Roman" panose="02020603050405020304" pitchFamily="18" charset="0"/>
              <a:cs typeface="Times New Roman" panose="02020603050405020304" pitchFamily="18" charset="0"/>
            </a:rPr>
            <a:t> Year</a:t>
          </a:r>
          <a:endParaRPr lang="en-US" sz="1100">
            <a:ln>
              <a:noFill/>
            </a:ln>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95250</xdr:colOff>
      <xdr:row>4</xdr:row>
      <xdr:rowOff>63500</xdr:rowOff>
    </xdr:from>
    <xdr:to>
      <xdr:col>1</xdr:col>
      <xdr:colOff>273050</xdr:colOff>
      <xdr:row>21</xdr:row>
      <xdr:rowOff>0</xdr:rowOff>
    </xdr:to>
    <mc:AlternateContent xmlns:mc="http://schemas.openxmlformats.org/markup-compatibility/2006" xmlns:a14="http://schemas.microsoft.com/office/drawing/2010/main">
      <mc:Choice Requires="a14">
        <xdr:graphicFrame macro="">
          <xdr:nvGraphicFramePr>
            <xdr:cNvPr id="27" name="Date (Month) 2">
              <a:extLst>
                <a:ext uri="{FF2B5EF4-FFF2-40B4-BE49-F238E27FC236}">
                  <a16:creationId xmlns:a16="http://schemas.microsoft.com/office/drawing/2014/main" id="{85A94BD3-70BD-4898-A416-FB57A03EA42C}"/>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95250" y="800100"/>
              <a:ext cx="787400" cy="3067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419101</xdr:colOff>
          <xdr:row>10</xdr:row>
          <xdr:rowOff>50800</xdr:rowOff>
        </xdr:from>
        <xdr:to>
          <xdr:col>8</xdr:col>
          <xdr:colOff>565151</xdr:colOff>
          <xdr:row>12</xdr:row>
          <xdr:rowOff>156117</xdr:rowOff>
        </xdr:to>
        <xdr:pic>
          <xdr:nvPicPr>
            <xdr:cNvPr id="30" name="Picture 29">
              <a:extLst>
                <a:ext uri="{FF2B5EF4-FFF2-40B4-BE49-F238E27FC236}">
                  <a16:creationId xmlns:a16="http://schemas.microsoft.com/office/drawing/2014/main" id="{2FDB0108-87F5-41FB-B3FD-6E5F11E2B940}"/>
                </a:ext>
              </a:extLst>
            </xdr:cNvPr>
            <xdr:cNvPicPr>
              <a:picLocks noChangeAspect="1" noChangeArrowheads="1"/>
              <a:extLst>
                <a:ext uri="{84589F7E-364E-4C9E-8A38-B11213B215E9}">
                  <a14:cameraTool cellRange="'Pivot Report'!$A$28:$D$30" spid="_x0000_s7178"/>
                </a:ext>
              </a:extLst>
            </xdr:cNvPicPr>
          </xdr:nvPicPr>
          <xdr:blipFill>
            <a:blip xmlns:r="http://schemas.openxmlformats.org/officeDocument/2006/relationships" r:embed="rId5"/>
            <a:srcRect/>
            <a:stretch>
              <a:fillRect/>
            </a:stretch>
          </xdr:blipFill>
          <xdr:spPr bwMode="auto">
            <a:xfrm>
              <a:off x="1028701" y="1892300"/>
              <a:ext cx="4413250" cy="473617"/>
            </a:xfrm>
            <a:prstGeom prst="roundRect">
              <a:avLst>
                <a:gd name="adj" fmla="val 16667"/>
              </a:avLst>
            </a:prstGeom>
            <a:ln>
              <a:noFill/>
            </a:ln>
            <a:effectLst/>
            <a:extLst>
              <a:ext uri="{909E8E84-426E-40DD-AFC4-6F175D3DCCD1}">
                <a14:hiddenFill>
                  <a:solidFill>
                    <a:srgbClr val="FFFFFF"/>
                  </a:solidFill>
                </a14:hiddenFill>
              </a:ext>
            </a:extLst>
          </xdr:spPr>
        </xdr:pic>
        <xdr:clientData/>
      </xdr:twoCellAnchor>
    </mc:Choice>
    <mc:Fallback/>
  </mc:AlternateContent>
  <xdr:twoCellAnchor>
    <xdr:from>
      <xdr:col>1</xdr:col>
      <xdr:colOff>419101</xdr:colOff>
      <xdr:row>4</xdr:row>
      <xdr:rowOff>69850</xdr:rowOff>
    </xdr:from>
    <xdr:to>
      <xdr:col>4</xdr:col>
      <xdr:colOff>6351</xdr:colOff>
      <xdr:row>10</xdr:row>
      <xdr:rowOff>6350</xdr:rowOff>
    </xdr:to>
    <xdr:sp macro="" textlink="">
      <xdr:nvSpPr>
        <xdr:cNvPr id="31" name="Rectangle: Rounded Corners 30">
          <a:extLst>
            <a:ext uri="{FF2B5EF4-FFF2-40B4-BE49-F238E27FC236}">
              <a16:creationId xmlns:a16="http://schemas.microsoft.com/office/drawing/2014/main" id="{C0BBABA1-AF9E-4937-950B-0189315DA7EA}"/>
            </a:ext>
          </a:extLst>
        </xdr:cNvPr>
        <xdr:cNvSpPr/>
      </xdr:nvSpPr>
      <xdr:spPr>
        <a:xfrm>
          <a:off x="1028701" y="806450"/>
          <a:ext cx="1416050" cy="1041400"/>
        </a:xfrm>
        <a:prstGeom prst="roundRect">
          <a:avLst>
            <a:gd name="adj" fmla="val 426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278743</xdr:colOff>
      <xdr:row>18</xdr:row>
      <xdr:rowOff>171450</xdr:rowOff>
    </xdr:from>
    <xdr:to>
      <xdr:col>15</xdr:col>
      <xdr:colOff>127000</xdr:colOff>
      <xdr:row>20</xdr:row>
      <xdr:rowOff>69850</xdr:rowOff>
    </xdr:to>
    <xdr:sp macro="" textlink="">
      <xdr:nvSpPr>
        <xdr:cNvPr id="32" name="TextBox 31">
          <a:extLst>
            <a:ext uri="{FF2B5EF4-FFF2-40B4-BE49-F238E27FC236}">
              <a16:creationId xmlns:a16="http://schemas.microsoft.com/office/drawing/2014/main" id="{FBF27EFC-F9C8-49D3-8990-A475BD506909}"/>
            </a:ext>
          </a:extLst>
        </xdr:cNvPr>
        <xdr:cNvSpPr txBox="1"/>
      </xdr:nvSpPr>
      <xdr:spPr>
        <a:xfrm>
          <a:off x="6374743" y="3486150"/>
          <a:ext cx="289625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Times New Roman" panose="02020603050405020304" pitchFamily="18" charset="0"/>
              <a:ea typeface="+mn-ea"/>
              <a:cs typeface="Times New Roman" panose="02020603050405020304" pitchFamily="18" charset="0"/>
            </a:rPr>
            <a:t>No.</a:t>
          </a:r>
          <a:r>
            <a:rPr lang="en-US" sz="1100" baseline="0">
              <a:solidFill>
                <a:schemeClr val="dk1"/>
              </a:solidFill>
              <a:effectLst/>
              <a:latin typeface="Times New Roman" panose="02020603050405020304" pitchFamily="18" charset="0"/>
              <a:ea typeface="+mn-ea"/>
              <a:cs typeface="Times New Roman" panose="02020603050405020304" pitchFamily="18" charset="0"/>
            </a:rPr>
            <a:t> of Patient by Department Referral</a:t>
          </a:r>
          <a:endParaRPr lang="en-US">
            <a:effectLst/>
            <a:latin typeface="Times New Roman" panose="02020603050405020304" pitchFamily="18" charset="0"/>
            <a:cs typeface="Times New Roman" panose="02020603050405020304" pitchFamily="18" charset="0"/>
          </a:endParaRPr>
        </a:p>
        <a:p>
          <a:endParaRPr lang="en-US" sz="1100">
            <a:ln>
              <a:noFill/>
            </a:ln>
            <a:latin typeface="Times New Roman" panose="02020603050405020304" pitchFamily="18" charset="0"/>
            <a:cs typeface="Times New Roman" panose="02020603050405020304" pitchFamily="18" charset="0"/>
          </a:endParaRPr>
        </a:p>
      </xdr:txBody>
    </xdr:sp>
    <xdr:clientData/>
  </xdr:twoCellAnchor>
  <xdr:twoCellAnchor>
    <xdr:from>
      <xdr:col>1</xdr:col>
      <xdr:colOff>419101</xdr:colOff>
      <xdr:row>13</xdr:row>
      <xdr:rowOff>0</xdr:rowOff>
    </xdr:from>
    <xdr:to>
      <xdr:col>9</xdr:col>
      <xdr:colOff>37225</xdr:colOff>
      <xdr:row>19</xdr:row>
      <xdr:rowOff>159699</xdr:rowOff>
    </xdr:to>
    <xdr:graphicFrame macro="">
      <xdr:nvGraphicFramePr>
        <xdr:cNvPr id="33" name="Chart 32">
          <a:extLst>
            <a:ext uri="{FF2B5EF4-FFF2-40B4-BE49-F238E27FC236}">
              <a16:creationId xmlns:a16="http://schemas.microsoft.com/office/drawing/2014/main" id="{CF2127FC-5801-4A02-BB36-10A858C5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520044</xdr:colOff>
      <xdr:row>19</xdr:row>
      <xdr:rowOff>0</xdr:rowOff>
    </xdr:from>
    <xdr:to>
      <xdr:col>8</xdr:col>
      <xdr:colOff>368301</xdr:colOff>
      <xdr:row>20</xdr:row>
      <xdr:rowOff>82550</xdr:rowOff>
    </xdr:to>
    <xdr:sp macro="" textlink="">
      <xdr:nvSpPr>
        <xdr:cNvPr id="34" name="TextBox 33">
          <a:extLst>
            <a:ext uri="{FF2B5EF4-FFF2-40B4-BE49-F238E27FC236}">
              <a16:creationId xmlns:a16="http://schemas.microsoft.com/office/drawing/2014/main" id="{DF8E0AB8-8EA2-4EB1-9B1C-CE1F095051C7}"/>
            </a:ext>
          </a:extLst>
        </xdr:cNvPr>
        <xdr:cNvSpPr txBox="1"/>
      </xdr:nvSpPr>
      <xdr:spPr>
        <a:xfrm>
          <a:off x="2348844" y="3498850"/>
          <a:ext cx="289625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Times New Roman" panose="02020603050405020304" pitchFamily="18" charset="0"/>
              <a:ea typeface="+mn-ea"/>
              <a:cs typeface="Times New Roman" panose="02020603050405020304" pitchFamily="18" charset="0"/>
            </a:rPr>
            <a:t>No.of Patients by Age Group</a:t>
          </a:r>
          <a:endParaRPr lang="en-US">
            <a:effectLst/>
            <a:latin typeface="Times New Roman" panose="02020603050405020304" pitchFamily="18" charset="0"/>
            <a:cs typeface="Times New Roman" panose="02020603050405020304" pitchFamily="18" charset="0"/>
          </a:endParaRPr>
        </a:p>
        <a:p>
          <a:endParaRPr lang="en-US" sz="1100">
            <a:ln>
              <a:noFill/>
            </a:ln>
            <a:latin typeface="Times New Roman" panose="02020603050405020304" pitchFamily="18" charset="0"/>
            <a:cs typeface="Times New Roman" panose="02020603050405020304" pitchFamily="18" charset="0"/>
          </a:endParaRPr>
        </a:p>
      </xdr:txBody>
    </xdr:sp>
    <xdr:clientData/>
  </xdr:twoCellAnchor>
  <xdr:twoCellAnchor editAs="oneCell">
    <xdr:from>
      <xdr:col>3</xdr:col>
      <xdr:colOff>336786</xdr:colOff>
      <xdr:row>4</xdr:row>
      <xdr:rowOff>63501</xdr:rowOff>
    </xdr:from>
    <xdr:to>
      <xdr:col>4</xdr:col>
      <xdr:colOff>0</xdr:colOff>
      <xdr:row>5</xdr:row>
      <xdr:rowOff>150722</xdr:rowOff>
    </xdr:to>
    <xdr:pic>
      <xdr:nvPicPr>
        <xdr:cNvPr id="35" name="Graphic 34" descr="Male profile with solid fill">
          <a:extLst>
            <a:ext uri="{FF2B5EF4-FFF2-40B4-BE49-F238E27FC236}">
              <a16:creationId xmlns:a16="http://schemas.microsoft.com/office/drawing/2014/main" id="{80546D45-FEA0-459B-9499-D1CBBDB3E54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165586" y="800101"/>
          <a:ext cx="272814" cy="271371"/>
        </a:xfrm>
        <a:prstGeom prst="rect">
          <a:avLst/>
        </a:prstGeom>
      </xdr:spPr>
    </xdr:pic>
    <xdr:clientData/>
  </xdr:twoCellAnchor>
  <xdr:twoCellAnchor>
    <xdr:from>
      <xdr:col>4</xdr:col>
      <xdr:colOff>63500</xdr:colOff>
      <xdr:row>4</xdr:row>
      <xdr:rowOff>69850</xdr:rowOff>
    </xdr:from>
    <xdr:to>
      <xdr:col>6</xdr:col>
      <xdr:colOff>260350</xdr:colOff>
      <xdr:row>10</xdr:row>
      <xdr:rowOff>6350</xdr:rowOff>
    </xdr:to>
    <xdr:sp macro="" textlink="">
      <xdr:nvSpPr>
        <xdr:cNvPr id="36" name="Rectangle: Rounded Corners 35">
          <a:extLst>
            <a:ext uri="{FF2B5EF4-FFF2-40B4-BE49-F238E27FC236}">
              <a16:creationId xmlns:a16="http://schemas.microsoft.com/office/drawing/2014/main" id="{1D19AC07-5C65-4E36-9C2E-6361AE63AFCD}"/>
            </a:ext>
          </a:extLst>
        </xdr:cNvPr>
        <xdr:cNvSpPr/>
      </xdr:nvSpPr>
      <xdr:spPr>
        <a:xfrm>
          <a:off x="2501900" y="806450"/>
          <a:ext cx="1416050" cy="1041400"/>
        </a:xfrm>
        <a:prstGeom prst="roundRect">
          <a:avLst>
            <a:gd name="adj" fmla="val 426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336549</xdr:colOff>
      <xdr:row>4</xdr:row>
      <xdr:rowOff>63501</xdr:rowOff>
    </xdr:from>
    <xdr:to>
      <xdr:col>8</xdr:col>
      <xdr:colOff>533399</xdr:colOff>
      <xdr:row>10</xdr:row>
      <xdr:rowOff>1</xdr:rowOff>
    </xdr:to>
    <xdr:sp macro="" textlink="">
      <xdr:nvSpPr>
        <xdr:cNvPr id="37" name="Rectangle: Rounded Corners 36">
          <a:extLst>
            <a:ext uri="{FF2B5EF4-FFF2-40B4-BE49-F238E27FC236}">
              <a16:creationId xmlns:a16="http://schemas.microsoft.com/office/drawing/2014/main" id="{8F5D9A60-01A8-4964-9D78-07CA2EEB4007}"/>
            </a:ext>
          </a:extLst>
        </xdr:cNvPr>
        <xdr:cNvSpPr/>
      </xdr:nvSpPr>
      <xdr:spPr>
        <a:xfrm>
          <a:off x="3994149" y="800101"/>
          <a:ext cx="1416050" cy="1041400"/>
        </a:xfrm>
        <a:prstGeom prst="roundRect">
          <a:avLst>
            <a:gd name="adj" fmla="val 426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0</xdr:colOff>
      <xdr:row>4</xdr:row>
      <xdr:rowOff>57151</xdr:rowOff>
    </xdr:from>
    <xdr:to>
      <xdr:col>6</xdr:col>
      <xdr:colOff>279400</xdr:colOff>
      <xdr:row>5</xdr:row>
      <xdr:rowOff>150722</xdr:rowOff>
    </xdr:to>
    <xdr:pic>
      <xdr:nvPicPr>
        <xdr:cNvPr id="38" name="Graphic 37" descr="Stopwatch with solid fill">
          <a:extLst>
            <a:ext uri="{FF2B5EF4-FFF2-40B4-BE49-F238E27FC236}">
              <a16:creationId xmlns:a16="http://schemas.microsoft.com/office/drawing/2014/main" id="{C8EC5DF7-D7F0-4A45-B1FA-141CD6C9B8D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657600" y="793751"/>
          <a:ext cx="279400" cy="277721"/>
        </a:xfrm>
        <a:prstGeom prst="rect">
          <a:avLst/>
        </a:prstGeom>
      </xdr:spPr>
    </xdr:pic>
    <xdr:clientData/>
  </xdr:twoCellAnchor>
  <xdr:twoCellAnchor editAs="oneCell">
    <xdr:from>
      <xdr:col>8</xdr:col>
      <xdr:colOff>250498</xdr:colOff>
      <xdr:row>4</xdr:row>
      <xdr:rowOff>74523</xdr:rowOff>
    </xdr:from>
    <xdr:to>
      <xdr:col>8</xdr:col>
      <xdr:colOff>514876</xdr:colOff>
      <xdr:row>5</xdr:row>
      <xdr:rowOff>150722</xdr:rowOff>
    </xdr:to>
    <xdr:pic>
      <xdr:nvPicPr>
        <xdr:cNvPr id="39" name="Graphic 38" descr="Customer review with solid fill">
          <a:extLst>
            <a:ext uri="{FF2B5EF4-FFF2-40B4-BE49-F238E27FC236}">
              <a16:creationId xmlns:a16="http://schemas.microsoft.com/office/drawing/2014/main" id="{6335F0ED-6047-45C4-9322-F48E80EF0C7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127298" y="811123"/>
          <a:ext cx="264378" cy="260349"/>
        </a:xfrm>
        <a:prstGeom prst="rect">
          <a:avLst/>
        </a:prstGeom>
      </xdr:spPr>
    </xdr:pic>
    <xdr:clientData/>
  </xdr:twoCellAnchor>
  <xdr:twoCellAnchor>
    <xdr:from>
      <xdr:col>1</xdr:col>
      <xdr:colOff>431144</xdr:colOff>
      <xdr:row>7</xdr:row>
      <xdr:rowOff>0</xdr:rowOff>
    </xdr:from>
    <xdr:to>
      <xdr:col>3</xdr:col>
      <xdr:colOff>597557</xdr:colOff>
      <xdr:row>10</xdr:row>
      <xdr:rowOff>109264</xdr:rowOff>
    </xdr:to>
    <xdr:graphicFrame macro="">
      <xdr:nvGraphicFramePr>
        <xdr:cNvPr id="40" name="Chart 39">
          <a:hlinkClick xmlns:r="http://schemas.openxmlformats.org/officeDocument/2006/relationships" r:id="rId13"/>
          <a:extLst>
            <a:ext uri="{FF2B5EF4-FFF2-40B4-BE49-F238E27FC236}">
              <a16:creationId xmlns:a16="http://schemas.microsoft.com/office/drawing/2014/main" id="{C6259438-F4F5-40F1-A33D-D405EF242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97441</xdr:colOff>
      <xdr:row>8</xdr:row>
      <xdr:rowOff>0</xdr:rowOff>
    </xdr:from>
    <xdr:to>
      <xdr:col>6</xdr:col>
      <xdr:colOff>260350</xdr:colOff>
      <xdr:row>10</xdr:row>
      <xdr:rowOff>160064</xdr:rowOff>
    </xdr:to>
    <xdr:graphicFrame macro="">
      <xdr:nvGraphicFramePr>
        <xdr:cNvPr id="41" name="Chart 40">
          <a:hlinkClick xmlns:r="http://schemas.openxmlformats.org/officeDocument/2006/relationships" r:id="rId15"/>
          <a:extLst>
            <a:ext uri="{FF2B5EF4-FFF2-40B4-BE49-F238E27FC236}">
              <a16:creationId xmlns:a16="http://schemas.microsoft.com/office/drawing/2014/main" id="{99FD2111-BA04-472C-80F3-3136200D3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354199</xdr:colOff>
      <xdr:row>7</xdr:row>
      <xdr:rowOff>111308</xdr:rowOff>
    </xdr:from>
    <xdr:to>
      <xdr:col>8</xdr:col>
      <xdr:colOff>514877</xdr:colOff>
      <xdr:row>9</xdr:row>
      <xdr:rowOff>171450</xdr:rowOff>
    </xdr:to>
    <xdr:graphicFrame macro="">
      <xdr:nvGraphicFramePr>
        <xdr:cNvPr id="42" name="Chart 41">
          <a:hlinkClick xmlns:r="http://schemas.openxmlformats.org/officeDocument/2006/relationships" r:id="rId17"/>
          <a:extLst>
            <a:ext uri="{FF2B5EF4-FFF2-40B4-BE49-F238E27FC236}">
              <a16:creationId xmlns:a16="http://schemas.microsoft.com/office/drawing/2014/main" id="{CB8799BF-2DFE-4A6B-BC6B-2C956B05C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552215</xdr:colOff>
      <xdr:row>6</xdr:row>
      <xdr:rowOff>135615</xdr:rowOff>
    </xdr:from>
    <xdr:to>
      <xdr:col>4</xdr:col>
      <xdr:colOff>6351</xdr:colOff>
      <xdr:row>8</xdr:row>
      <xdr:rowOff>61092</xdr:rowOff>
    </xdr:to>
    <xdr:sp macro="" textlink="">
      <xdr:nvSpPr>
        <xdr:cNvPr id="43" name="TextBox 42">
          <a:extLst>
            <a:ext uri="{FF2B5EF4-FFF2-40B4-BE49-F238E27FC236}">
              <a16:creationId xmlns:a16="http://schemas.microsoft.com/office/drawing/2014/main" id="{8631128E-1329-4EAF-BB6F-0806808141BC}"/>
            </a:ext>
          </a:extLst>
        </xdr:cNvPr>
        <xdr:cNvSpPr txBox="1"/>
      </xdr:nvSpPr>
      <xdr:spPr>
        <a:xfrm>
          <a:off x="1161815" y="1240515"/>
          <a:ext cx="1282936" cy="293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n>
                <a:noFill/>
              </a:ln>
              <a:latin typeface="Times New Roman" panose="02020603050405020304" pitchFamily="18" charset="0"/>
              <a:cs typeface="Times New Roman" panose="02020603050405020304" pitchFamily="18" charset="0"/>
            </a:rPr>
            <a:t>No.</a:t>
          </a:r>
          <a:r>
            <a:rPr lang="en-US" sz="1100" baseline="0">
              <a:ln>
                <a:noFill/>
              </a:ln>
              <a:latin typeface="Times New Roman" panose="02020603050405020304" pitchFamily="18" charset="0"/>
              <a:cs typeface="Times New Roman" panose="02020603050405020304" pitchFamily="18" charset="0"/>
            </a:rPr>
            <a:t> of Patients</a:t>
          </a:r>
          <a:endParaRPr lang="en-US" sz="1100">
            <a:ln>
              <a:noFill/>
            </a:ln>
            <a:latin typeface="Times New Roman" panose="02020603050405020304" pitchFamily="18" charset="0"/>
            <a:cs typeface="Times New Roman" panose="02020603050405020304" pitchFamily="18" charset="0"/>
          </a:endParaRPr>
        </a:p>
      </xdr:txBody>
    </xdr:sp>
    <xdr:clientData/>
  </xdr:twoCellAnchor>
  <xdr:twoCellAnchor>
    <xdr:from>
      <xdr:col>4</xdr:col>
      <xdr:colOff>152164</xdr:colOff>
      <xdr:row>6</xdr:row>
      <xdr:rowOff>124592</xdr:rowOff>
    </xdr:from>
    <xdr:to>
      <xdr:col>6</xdr:col>
      <xdr:colOff>215900</xdr:colOff>
      <xdr:row>8</xdr:row>
      <xdr:rowOff>50069</xdr:rowOff>
    </xdr:to>
    <xdr:sp macro="" textlink="">
      <xdr:nvSpPr>
        <xdr:cNvPr id="44" name="TextBox 43">
          <a:extLst>
            <a:ext uri="{FF2B5EF4-FFF2-40B4-BE49-F238E27FC236}">
              <a16:creationId xmlns:a16="http://schemas.microsoft.com/office/drawing/2014/main" id="{AD3B74C7-D30E-40F9-B4FF-AF54B3FEB88B}"/>
            </a:ext>
          </a:extLst>
        </xdr:cNvPr>
        <xdr:cNvSpPr txBox="1"/>
      </xdr:nvSpPr>
      <xdr:spPr>
        <a:xfrm>
          <a:off x="2590564" y="1229492"/>
          <a:ext cx="1282936" cy="293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n>
                <a:noFill/>
              </a:ln>
              <a:latin typeface="Times New Roman" panose="02020603050405020304" pitchFamily="18" charset="0"/>
              <a:cs typeface="Times New Roman" panose="02020603050405020304" pitchFamily="18" charset="0"/>
            </a:rPr>
            <a:t>Average</a:t>
          </a:r>
          <a:r>
            <a:rPr lang="en-US" sz="1100" baseline="0">
              <a:ln>
                <a:noFill/>
              </a:ln>
              <a:latin typeface="Times New Roman" panose="02020603050405020304" pitchFamily="18" charset="0"/>
              <a:cs typeface="Times New Roman" panose="02020603050405020304" pitchFamily="18" charset="0"/>
            </a:rPr>
            <a:t> Wait time</a:t>
          </a:r>
          <a:endParaRPr lang="en-US" sz="1100">
            <a:ln>
              <a:noFill/>
            </a:ln>
            <a:latin typeface="Times New Roman" panose="02020603050405020304" pitchFamily="18" charset="0"/>
            <a:cs typeface="Times New Roman" panose="02020603050405020304" pitchFamily="18" charset="0"/>
          </a:endParaRPr>
        </a:p>
      </xdr:txBody>
    </xdr:sp>
    <xdr:clientData/>
  </xdr:twoCellAnchor>
  <xdr:twoCellAnchor>
    <xdr:from>
      <xdr:col>6</xdr:col>
      <xdr:colOff>425451</xdr:colOff>
      <xdr:row>6</xdr:row>
      <xdr:rowOff>135615</xdr:rowOff>
    </xdr:from>
    <xdr:to>
      <xdr:col>8</xdr:col>
      <xdr:colOff>489187</xdr:colOff>
      <xdr:row>8</xdr:row>
      <xdr:rowOff>61092</xdr:rowOff>
    </xdr:to>
    <xdr:sp macro="" textlink="">
      <xdr:nvSpPr>
        <xdr:cNvPr id="45" name="TextBox 44">
          <a:extLst>
            <a:ext uri="{FF2B5EF4-FFF2-40B4-BE49-F238E27FC236}">
              <a16:creationId xmlns:a16="http://schemas.microsoft.com/office/drawing/2014/main" id="{4BBA370E-BE3B-4789-8170-6F1C8C8050C4}"/>
            </a:ext>
          </a:extLst>
        </xdr:cNvPr>
        <xdr:cNvSpPr txBox="1"/>
      </xdr:nvSpPr>
      <xdr:spPr>
        <a:xfrm>
          <a:off x="4083051" y="1240515"/>
          <a:ext cx="1282936" cy="293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n>
                <a:noFill/>
              </a:ln>
              <a:latin typeface="Times New Roman" panose="02020603050405020304" pitchFamily="18" charset="0"/>
              <a:cs typeface="Times New Roman" panose="02020603050405020304" pitchFamily="18" charset="0"/>
            </a:rPr>
            <a:t>Satisfaction</a:t>
          </a:r>
          <a:r>
            <a:rPr lang="en-US" sz="1100" baseline="0">
              <a:ln>
                <a:noFill/>
              </a:ln>
              <a:latin typeface="Times New Roman" panose="02020603050405020304" pitchFamily="18" charset="0"/>
              <a:cs typeface="Times New Roman" panose="02020603050405020304" pitchFamily="18" charset="0"/>
            </a:rPr>
            <a:t> Score</a:t>
          </a:r>
          <a:endParaRPr lang="en-US" sz="1100">
            <a:ln>
              <a:noFill/>
            </a:ln>
            <a:latin typeface="Times New Roman" panose="02020603050405020304" pitchFamily="18" charset="0"/>
            <a:cs typeface="Times New Roman" panose="02020603050405020304" pitchFamily="18" charset="0"/>
          </a:endParaRPr>
        </a:p>
      </xdr:txBody>
    </xdr:sp>
    <xdr:clientData/>
  </xdr:twoCellAnchor>
  <xdr:twoCellAnchor>
    <xdr:from>
      <xdr:col>2</xdr:col>
      <xdr:colOff>114536</xdr:colOff>
      <xdr:row>5</xdr:row>
      <xdr:rowOff>59558</xdr:rowOff>
    </xdr:from>
    <xdr:to>
      <xdr:col>3</xdr:col>
      <xdr:colOff>451322</xdr:colOff>
      <xdr:row>7</xdr:row>
      <xdr:rowOff>0</xdr:rowOff>
    </xdr:to>
    <xdr:sp macro="" textlink="'Pivot Report'!A7">
      <xdr:nvSpPr>
        <xdr:cNvPr id="46" name="TextBox 45">
          <a:extLst>
            <a:ext uri="{FF2B5EF4-FFF2-40B4-BE49-F238E27FC236}">
              <a16:creationId xmlns:a16="http://schemas.microsoft.com/office/drawing/2014/main" id="{BECFBC3B-FF74-4779-90E1-F48A33AE9741}"/>
            </a:ext>
          </a:extLst>
        </xdr:cNvPr>
        <xdr:cNvSpPr txBox="1"/>
      </xdr:nvSpPr>
      <xdr:spPr>
        <a:xfrm>
          <a:off x="1333736" y="980308"/>
          <a:ext cx="946386" cy="30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C3A589-DAB2-4151-9EC0-D31B327C5641}"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439</a:t>
          </a:fld>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4</xdr:col>
      <xdr:colOff>317264</xdr:colOff>
      <xdr:row>5</xdr:row>
      <xdr:rowOff>59558</xdr:rowOff>
    </xdr:from>
    <xdr:to>
      <xdr:col>6</xdr:col>
      <xdr:colOff>44450</xdr:colOff>
      <xdr:row>7</xdr:row>
      <xdr:rowOff>0</xdr:rowOff>
    </xdr:to>
    <xdr:sp macro="" textlink="'Pivot Report'!A12">
      <xdr:nvSpPr>
        <xdr:cNvPr id="47" name="TextBox 46">
          <a:extLst>
            <a:ext uri="{FF2B5EF4-FFF2-40B4-BE49-F238E27FC236}">
              <a16:creationId xmlns:a16="http://schemas.microsoft.com/office/drawing/2014/main" id="{579AE91F-6E90-48A4-B1C0-43426880D54E}"/>
            </a:ext>
          </a:extLst>
        </xdr:cNvPr>
        <xdr:cNvSpPr txBox="1"/>
      </xdr:nvSpPr>
      <xdr:spPr>
        <a:xfrm>
          <a:off x="2755664" y="980308"/>
          <a:ext cx="946386" cy="30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B1168E-3157-44A3-BC8B-B1B820B96CF4}"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34.74</a:t>
          </a:fld>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6</xdr:col>
      <xdr:colOff>531999</xdr:colOff>
      <xdr:row>5</xdr:row>
      <xdr:rowOff>59558</xdr:rowOff>
    </xdr:from>
    <xdr:to>
      <xdr:col>8</xdr:col>
      <xdr:colOff>259185</xdr:colOff>
      <xdr:row>7</xdr:row>
      <xdr:rowOff>0</xdr:rowOff>
    </xdr:to>
    <xdr:sp macro="" textlink="'Pivot Report'!A18">
      <xdr:nvSpPr>
        <xdr:cNvPr id="48" name="TextBox 47">
          <a:extLst>
            <a:ext uri="{FF2B5EF4-FFF2-40B4-BE49-F238E27FC236}">
              <a16:creationId xmlns:a16="http://schemas.microsoft.com/office/drawing/2014/main" id="{D9D4D44F-A25F-4380-9E27-5CABBD01BFEF}"/>
            </a:ext>
          </a:extLst>
        </xdr:cNvPr>
        <xdr:cNvSpPr txBox="1"/>
      </xdr:nvSpPr>
      <xdr:spPr>
        <a:xfrm>
          <a:off x="4189599" y="980308"/>
          <a:ext cx="946386" cy="30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EB4E26-5900-47D5-B67F-CFA553A19D4D}" type="TxLink">
            <a:rPr lang="en-US" sz="1100" b="0" i="0" u="none" strike="noStrike">
              <a:solidFill>
                <a:srgbClr val="000000"/>
              </a:solidFill>
              <a:latin typeface="Calibri"/>
              <a:cs typeface="Calibri"/>
            </a:rPr>
            <a:pPr algn="ctr"/>
            <a:t>5.09</a:t>
          </a:fld>
          <a:endParaRPr lang="en-US" sz="11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0</xdr:row>
      <xdr:rowOff>177800</xdr:rowOff>
    </xdr:from>
    <xdr:to>
      <xdr:col>15</xdr:col>
      <xdr:colOff>355600</xdr:colOff>
      <xdr:row>14</xdr:row>
      <xdr:rowOff>0</xdr:rowOff>
    </xdr:to>
    <xdr:graphicFrame macro="">
      <xdr:nvGraphicFramePr>
        <xdr:cNvPr id="2" name="Chart 1">
          <a:extLst>
            <a:ext uri="{FF2B5EF4-FFF2-40B4-BE49-F238E27FC236}">
              <a16:creationId xmlns:a16="http://schemas.microsoft.com/office/drawing/2014/main" id="{21BAF88E-07E5-47BA-9533-EA4897CD2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234950</xdr:colOff>
      <xdr:row>14</xdr:row>
      <xdr:rowOff>12700</xdr:rowOff>
    </xdr:from>
    <xdr:to>
      <xdr:col>12</xdr:col>
      <xdr:colOff>546100</xdr:colOff>
      <xdr:row>15</xdr:row>
      <xdr:rowOff>82550</xdr:rowOff>
    </xdr:to>
    <xdr:sp macro="" textlink="">
      <xdr:nvSpPr>
        <xdr:cNvPr id="3" name="TextBox 2">
          <a:extLst>
            <a:ext uri="{FF2B5EF4-FFF2-40B4-BE49-F238E27FC236}">
              <a16:creationId xmlns:a16="http://schemas.microsoft.com/office/drawing/2014/main" id="{351816FF-80A1-4997-A4EB-187FEFFD689B}"/>
            </a:ext>
          </a:extLst>
        </xdr:cNvPr>
        <xdr:cNvSpPr txBox="1"/>
      </xdr:nvSpPr>
      <xdr:spPr>
        <a:xfrm>
          <a:off x="2063750" y="2590800"/>
          <a:ext cx="5797550" cy="25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Showing a daily trend</a:t>
          </a:r>
          <a:r>
            <a:rPr lang="en-US" sz="1100" baseline="0"/>
            <a:t> with an area sparkline to spot patterns like busy days or seasonal trends.</a:t>
          </a:r>
          <a:endParaRPr lang="en-US"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cdr:x>
      <cdr:y>0.00265</cdr:y>
    </cdr:from>
    <cdr:to>
      <cdr:x>0.0363</cdr:x>
      <cdr:y>0.14286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17C7522-2693-4FED-BFB4-FC0026A4373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6350"/>
          <a:ext cx="336550" cy="3365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76200</xdr:colOff>
      <xdr:row>15</xdr:row>
      <xdr:rowOff>82550</xdr:rowOff>
    </xdr:from>
    <xdr:to>
      <xdr:col>12</xdr:col>
      <xdr:colOff>400050</xdr:colOff>
      <xdr:row>17</xdr:row>
      <xdr:rowOff>25400</xdr:rowOff>
    </xdr:to>
    <xdr:sp macro="" textlink="">
      <xdr:nvSpPr>
        <xdr:cNvPr id="3" name="TextBox 2">
          <a:extLst>
            <a:ext uri="{FF2B5EF4-FFF2-40B4-BE49-F238E27FC236}">
              <a16:creationId xmlns:a16="http://schemas.microsoft.com/office/drawing/2014/main" id="{78178C97-5CC5-49BF-A811-42F52039E9FB}"/>
            </a:ext>
          </a:extLst>
        </xdr:cNvPr>
        <xdr:cNvSpPr txBox="1"/>
      </xdr:nvSpPr>
      <xdr:spPr>
        <a:xfrm>
          <a:off x="685800" y="2844800"/>
          <a:ext cx="7029450" cy="311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Use an area chart</a:t>
          </a:r>
          <a:r>
            <a:rPr lang="en-US" sz="1100" baseline="0"/>
            <a:t> to track daily changes and highlight days with longer wait times that might need improvements</a:t>
          </a:r>
          <a:endParaRPr lang="en-US" sz="1100"/>
        </a:p>
      </xdr:txBody>
    </xdr:sp>
    <xdr:clientData/>
  </xdr:twoCellAnchor>
  <xdr:twoCellAnchor>
    <xdr:from>
      <xdr:col>0</xdr:col>
      <xdr:colOff>120650</xdr:colOff>
      <xdr:row>0</xdr:row>
      <xdr:rowOff>76200</xdr:rowOff>
    </xdr:from>
    <xdr:to>
      <xdr:col>13</xdr:col>
      <xdr:colOff>457200</xdr:colOff>
      <xdr:row>15</xdr:row>
      <xdr:rowOff>57150</xdr:rowOff>
    </xdr:to>
    <xdr:graphicFrame macro="">
      <xdr:nvGraphicFramePr>
        <xdr:cNvPr id="13" name="Chart 12">
          <a:extLst>
            <a:ext uri="{FF2B5EF4-FFF2-40B4-BE49-F238E27FC236}">
              <a16:creationId xmlns:a16="http://schemas.microsoft.com/office/drawing/2014/main" id="{49F7C17F-653C-4A05-BB82-3F897D853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0.03997</cdr:x>
      <cdr:y>0.12037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B2EDEBA-80DB-49B5-AD68-BBA8CE07260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30200" cy="3302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133350</xdr:colOff>
      <xdr:row>0</xdr:row>
      <xdr:rowOff>82550</xdr:rowOff>
    </xdr:from>
    <xdr:to>
      <xdr:col>14</xdr:col>
      <xdr:colOff>120650</xdr:colOff>
      <xdr:row>15</xdr:row>
      <xdr:rowOff>63500</xdr:rowOff>
    </xdr:to>
    <xdr:graphicFrame macro="">
      <xdr:nvGraphicFramePr>
        <xdr:cNvPr id="2" name="Chart 1">
          <a:extLst>
            <a:ext uri="{FF2B5EF4-FFF2-40B4-BE49-F238E27FC236}">
              <a16:creationId xmlns:a16="http://schemas.microsoft.com/office/drawing/2014/main" id="{6BE0072F-E9E5-4EBB-897E-27C0266AF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0.04534</cdr:x>
      <cdr:y>0.12731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1A8EDC6-160B-48C2-826F-DCF895B384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86392" cy="3492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796759262" createdVersion="5" refreshedVersion="7" minRefreshableVersion="3" recordCount="0" supportSubquery="1" supportAdvancedDrill="1" xr:uid="{25F98E97-CC21-4FB3-827C-59083B0868C0}">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27">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797106478" createdVersion="5" refreshedVersion="7" minRefreshableVersion="3" recordCount="0" supportSubquery="1" supportAdvancedDrill="1" xr:uid="{743D27A7-9B2D-4A2A-9352-B0B6D18E5780}">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797337963" createdVersion="5" refreshedVersion="7" minRefreshableVersion="3" recordCount="0" supportSubquery="1" supportAdvancedDrill="1" xr:uid="{85904F5E-5AF2-48C5-A07C-F6B4D63E87AC}">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797569447" createdVersion="5" refreshedVersion="7" minRefreshableVersion="3" recordCount="0" supportSubquery="1" supportAdvancedDrill="1" xr:uid="{BCC7C65E-70E6-41EA-A764-15759571B952}">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798032409" createdVersion="5" refreshedVersion="7" minRefreshableVersion="3" recordCount="0" supportSubquery="1" supportAdvancedDrill="1" xr:uid="{682C0243-F801-42EE-B11A-1D2E0D167E37}">
  <cacheSource type="external" connectionId="3"/>
  <cacheFields count="4">
    <cacheField name="[Calender_Table].[Date (Day)].[Date (Day)]" caption="Date (Day)" numFmtId="0" hierarchy="2" level="1">
      <sharedItems count="27">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798495371" createdVersion="5" refreshedVersion="7" minRefreshableVersion="3" recordCount="0" supportSubquery="1" supportAdvancedDrill="1" xr:uid="{D8F1D242-B168-47C1-852E-D1BCDFF93D94}">
  <cacheSource type="external" connectionId="3"/>
  <cacheFields count="4">
    <cacheField name="[Calender_Table].[Date (Day)].[Date (Day)]" caption="Date (Day)" numFmtId="0" hierarchy="2" level="1">
      <sharedItems count="27">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799074072" createdVersion="5" refreshedVersion="7" minRefreshableVersion="3" recordCount="0" supportSubquery="1" supportAdvancedDrill="1" xr:uid="{D7AB6B16-A7E3-4DF6-BA32-F68480A62E7E}">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79965278" createdVersion="5" refreshedVersion="7" minRefreshableVersion="3" recordCount="0" supportSubquery="1" supportAdvancedDrill="1" xr:uid="{F8DA48D4-DFE6-4A62-9C25-1B51BDBE6150}">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800115742" createdVersion="5" refreshedVersion="7" minRefreshableVersion="3" recordCount="0" supportSubquery="1" supportAdvancedDrill="1" xr:uid="{105C87BA-A2DA-423E-B164-D6BE46F44C8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800694442" createdVersion="5" refreshedVersion="7" minRefreshableVersion="3" recordCount="0" supportSubquery="1" supportAdvancedDrill="1" xr:uid="{147C50A1-91E1-49C9-AEA1-58692CFF5488}">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80127315" createdVersion="5" refreshedVersion="7" minRefreshableVersion="3" recordCount="0" supportSubquery="1" supportAdvancedDrill="1" xr:uid="{9CEC258E-7132-4124-A2B9-60F950D34C78}">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167801736112" createdVersion="5" refreshedVersion="7" minRefreshableVersion="3" recordCount="0" supportSubquery="1" supportAdvancedDrill="1" xr:uid="{F4C51CB5-612A-4C0E-B213-7594023BC56D}">
  <cacheSource type="external" connectionId="3"/>
  <cacheFields count="4">
    <cacheField name="[Calender_Table].[Date (Month)].[Date (Month)]" caption="Date (Month)" numFmtId="0" hierarchy="1" level="1">
      <sharedItems containsNonDate="0" count="1">
        <s v="Aug"/>
      </sharedItems>
    </cacheField>
    <cacheField name="[Calende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_Table].[Date (Quarter)].[Date (Quarter)]" caption="Date (Quarter)" numFmtId="0" hierarchy="4" level="1">
      <sharedItems containsNonDate="0" count="1">
        <s v="Qtr3"/>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5.074979861114" createdVersion="3" refreshedVersion="7" minRefreshableVersion="3" recordCount="0" supportSubquery="1" supportAdvancedDrill="1" xr:uid="{5AEA9B07-4ECB-4F68-985C-A4015C0C6CA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270453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BD8537-4958-48F8-BAE9-42283ECB0646}" name="PivotTable12" cacheId="153" applyNumberFormats="0" applyBorderFormats="0" applyFontFormats="0" applyPatternFormats="0" applyAlignmentFormats="0" applyWidthHeightFormats="1" dataCaption="Values" tag="6437b4d6-1618-4cd1-b4c7-b7a92e4c44e1" updatedVersion="7" minRefreshableVersion="3" subtotalHiddenItems="1" itemPrintTitles="1" createdVersion="5" indent="0" outline="1" outlineData="1" multipleFieldFilters="0" chartFormat="105">
  <location ref="A63:B7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7"/>
    </i>
    <i>
      <x v="1"/>
    </i>
    <i>
      <x/>
    </i>
    <i>
      <x v="6"/>
    </i>
    <i>
      <x v="5"/>
    </i>
    <i>
      <x v="2"/>
    </i>
    <i>
      <x v="4"/>
    </i>
    <i t="grand">
      <x/>
    </i>
  </rowItems>
  <colItems count="1">
    <i/>
  </colItems>
  <dataFields count="1">
    <dataField name="Count of Department Referral" fld="2" subtotal="count" baseField="0" baseItem="0"/>
  </dataFields>
  <formats count="1">
    <format dxfId="52">
      <pivotArea outline="0" collapsedLevelsAreSubtotals="1" fieldPosition="0"/>
    </format>
  </formats>
  <chartFormats count="1">
    <chartFormat chart="10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Attend statu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7A0ED5-79D9-4914-A2AF-D66358B6F1A9}" name="PivotTable4" cacheId="126" applyNumberFormats="0" applyBorderFormats="0" applyFontFormats="0" applyPatternFormats="0" applyAlignmentFormats="0" applyWidthHeightFormats="1" dataCaption="Values" tag="d07744e8-baa1-4a92-adab-dfaba2c26128" updatedVersion="7"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3">
      <pivotArea outline="0" collapsedLevelsAreSubtotals="1"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05F852-CE2B-4A9D-BEA2-3AAD82182DF6}" name="PivotTable11" cacheId="150" applyNumberFormats="0" applyBorderFormats="0" applyFontFormats="0" applyPatternFormats="0" applyAlignmentFormats="0" applyWidthHeightFormats="1" dataCaption="Values" tag="6437b4d6-1618-4cd1-b4c7-b7a92e4c44e1" updatedVersion="7" minRefreshableVersion="3" subtotalHiddenItems="1" itemPrintTitles="1" createdVersion="5" indent="0" outline="1" outlineData="1" multipleFieldFilters="0" chartFormat="99">
  <location ref="A55: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54">
      <pivotArea outline="0" collapsedLevelsAreSubtotals="1" fieldPosition="0"/>
    </format>
  </formats>
  <chartFormats count="3">
    <chartFormat chart="98" format="12" series="1">
      <pivotArea type="data" outline="0" fieldPosition="0">
        <references count="1">
          <reference field="4294967294" count="1" selected="0">
            <x v="0"/>
          </reference>
        </references>
      </pivotArea>
    </chartFormat>
    <chartFormat chart="98" format="13">
      <pivotArea type="data" outline="0" fieldPosition="0">
        <references count="2">
          <reference field="4294967294" count="1" selected="0">
            <x v="0"/>
          </reference>
          <reference field="1" count="1" selected="0">
            <x v="0"/>
          </reference>
        </references>
      </pivotArea>
    </chartFormat>
    <chartFormat chart="98" format="14">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Attend statu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03EB68-E9BC-4A5B-85BF-1BAF64F60336}" name="PivotTable9" cacheId="144" applyNumberFormats="0" applyBorderFormats="0" applyFontFormats="0" applyPatternFormats="0" applyAlignmentFormats="0" applyWidthHeightFormats="1" dataCaption="Values" tag="6437b4d6-1618-4cd1-b4c7-b7a92e4c44e1" updatedVersion="7" minRefreshableVersion="3" subtotalHiddenItems="1" itemPrintTitles="1" createdVersion="5" indent="0" outline="1" outlineData="1" multipleFieldFilters="0" chartFormat="84">
  <location ref="A34:B4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55">
      <pivotArea outline="0" collapsedLevelsAreSubtotals="1" fieldPosition="0"/>
    </format>
  </formats>
  <chartFormats count="1">
    <chartFormat chart="8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D393DC-95C5-49C2-BF38-BB9ECE4902E2}" name="PivotTable7" cacheId="123" applyNumberFormats="0" applyBorderFormats="0" applyFontFormats="0" applyPatternFormats="0" applyAlignmentFormats="0" applyWidthHeightFormats="1" dataCaption="Values" tag="b81bbe16-dc1c-4050-a34e-aac7913d218f" updatedVersion="7" minRefreshableVersion="3" subtotalHiddenItems="1" itemPrintTitles="1" createdVersion="5" indent="0" outline="1" outlineData="1" multipleFieldFilters="0" chartFormat="16">
  <location ref="F7:G35" firstHeaderRow="1" firstDataRow="1" firstDataCol="1"/>
  <pivotFields count="4">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Distinct Count of Patient Id" fld="0" subtotal="count" baseField="0" baseItem="0" numFmtId="1">
      <extLst>
        <ext xmlns:x15="http://schemas.microsoft.com/office/spreadsheetml/2010/11/main" uri="{FABC7310-3BB5-11E1-824E-6D434824019B}">
          <x15:dataField isCountDistinct="1"/>
        </ext>
      </extLst>
    </dataField>
  </dataFields>
  <formats count="1">
    <format dxfId="56">
      <pivotArea outline="0" collapsedLevelsAreSubtotals="1" fieldPosition="0"/>
    </format>
  </formats>
  <chartFormats count="4">
    <chartFormat chart="10"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57FBA6-1DB2-4EDD-98CB-664C1172A2B2}" name="PivotTable2" cacheId="135" applyNumberFormats="0" applyBorderFormats="0" applyFontFormats="0" applyPatternFormats="0" applyAlignmentFormats="0" applyWidthHeightFormats="1" dataCaption="Values" tag="b81bbe16-dc1c-4050-a34e-aac7913d218f" updatedVersion="7" minRefreshableVersion="3" subtotalHiddenItems="1" itemPrintTitles="1" createdVersion="5" indent="0" outline="1" outlineData="1" multipleFieldFilters="0" chartFormat="33">
  <location ref="J7:K35"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Waittime" fld="2" subtotal="average" baseField="0" baseItem="0"/>
  </dataFields>
  <formats count="1">
    <format dxfId="57">
      <pivotArea outline="0" collapsedLevelsAreSubtotals="1" fieldPosition="0"/>
    </format>
  </formats>
  <chartFormats count="2">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DFCE33-0D05-4C51-BCF6-3F9FAAC33BF7}" name="PivotTable8" cacheId="141" applyNumberFormats="0" applyBorderFormats="0" applyFontFormats="0" applyPatternFormats="0" applyAlignmentFormats="0" applyWidthHeightFormats="1" dataCaption="Values" tag="6437b4d6-1618-4cd1-b4c7-b7a92e4c44e1" updatedVersion="7" minRefreshableVersion="3" itemPrintTitles="1" createdVersion="5" indent="0" outline="1" outlineData="1" multipleFieldFilters="0" chartFormat="82">
  <location ref="A22:C2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1"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59">
      <pivotArea outline="0" collapsedLevelsAreSubtotals="1" fieldPosition="0"/>
    </format>
    <format dxfId="58">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84E70B-6852-4F24-B9E0-664A7241652A}" name="PivotTable5" cacheId="129" applyNumberFormats="0" applyBorderFormats="0" applyFontFormats="0" applyPatternFormats="0" applyAlignmentFormats="0" applyWidthHeightFormats="1" dataCaption="Values" tag="6437b4d6-1618-4cd1-b4c7-b7a92e4c44e1" updatedVersion="7" minRefreshableVersion="3" itemPrintTitles="1" createdVersion="5"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0">
      <pivotArea outline="0" collapsedLevelsAreSubtotals="1"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94A995-33A9-4ED9-9FF3-FB6D950A540B}" name="PivotTable13" cacheId="156" applyNumberFormats="0" applyBorderFormats="0" applyFontFormats="0" applyPatternFormats="0" applyAlignmentFormats="0" applyWidthHeightFormats="1" dataCaption="Values" tag="6437b4d6-1618-4cd1-b4c7-b7a92e4c44e1" updatedVersion="7" minRefreshableVersion="3" subtotalHiddenItems="1" itemPrintTitles="1" createdVersion="5" indent="0" outline="1" outlineData="1" multipleFieldFilters="0" chartFormat="102">
  <location ref="A77:A7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61">
      <pivotArea outline="0" collapsedLevelsAreSubtotals="1"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Attend status"/>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3E9B3E-86FB-423D-B97D-ADD14D77C313}" name="PivotTable10" cacheId="147" applyNumberFormats="0" applyBorderFormats="0" applyFontFormats="0" applyPatternFormats="0" applyAlignmentFormats="0" applyWidthHeightFormats="1" dataCaption="Values" tag="6437b4d6-1618-4cd1-b4c7-b7a92e4c44e1" updatedVersion="7" minRefreshableVersion="3" subtotalHiddenItems="1" itemPrintTitles="1" createdVersion="5" indent="0" outline="1" outlineData="1" multipleFieldFilters="0" chartFormat="95">
  <location ref="A48:B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Attend status" fld="2" subtotal="count" baseField="1" baseItem="0"/>
  </dataFields>
  <formats count="1">
    <format dxfId="62">
      <pivotArea outline="0" collapsedLevelsAreSubtotals="1" fieldPosition="0"/>
    </format>
  </formats>
  <chartFormats count="3">
    <chartFormat chart="94" format="18" series="1">
      <pivotArea type="data" outline="0" fieldPosition="0">
        <references count="1">
          <reference field="4294967294" count="1" selected="0">
            <x v="0"/>
          </reference>
        </references>
      </pivotArea>
    </chartFormat>
    <chartFormat chart="94" format="19">
      <pivotArea type="data" outline="0" fieldPosition="0">
        <references count="2">
          <reference field="4294967294" count="1" selected="0">
            <x v="0"/>
          </reference>
          <reference field="1" count="1" selected="0">
            <x v="0"/>
          </reference>
        </references>
      </pivotArea>
    </chartFormat>
    <chartFormat chart="94" format="20">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Attend statu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1260EC-6DA7-4733-900C-9501CFFD2DFC}" name="PivotTable6" cacheId="132" applyNumberFormats="0" applyBorderFormats="0" applyFontFormats="0" applyPatternFormats="0" applyAlignmentFormats="0" applyWidthHeightFormats="1" dataCaption="Values" tag="e9b7e6c0-dbdf-4913-bdd9-79a7d8d413e2" updatedVersion="7" minRefreshableVersion="3"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numFmtId="1">
      <extLst>
        <ext xmlns:x15="http://schemas.microsoft.com/office/spreadsheetml/2010/11/main" uri="{FABC7310-3BB5-11E1-824E-6D434824019B}">
          <x15:dataField isCountDistinct="1"/>
        </ext>
      </extLst>
    </dataField>
  </dataFields>
  <formats count="1">
    <format dxfId="63">
      <pivotArea outline="0" collapsedLevelsAreSubtotals="1"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573EBF-57FA-44EC-8E72-64A2EC811241}" name="PivotTable3" cacheId="138" applyNumberFormats="0" applyBorderFormats="0" applyFontFormats="0" applyPatternFormats="0" applyAlignmentFormats="0" applyWidthHeightFormats="1" dataCaption="Values" tag="b81bbe16-dc1c-4050-a34e-aac7913d218f" updatedVersion="7" minRefreshableVersion="3" subtotalHiddenItems="1" itemPrintTitles="1" createdVersion="5" indent="0" outline="1" outlineData="1" multipleFieldFilters="0" chartFormat="26">
  <location ref="M7:N35"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64">
      <pivotArea outline="0" collapsedLevelsAreSubtotals="1" fieldPosition="0"/>
    </format>
  </formats>
  <chartFormats count="4">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8B69BC2-828C-4B57-AC2B-2B6A73EDFEFF}" sourceName="[Calender_Table].[Date (Month)]">
  <pivotTables>
    <pivotTable tabId="1" name="PivotTable7"/>
    <pivotTable tabId="1" name="PivotTable4"/>
    <pivotTable tabId="1" name="PivotTable5"/>
    <pivotTable tabId="1" name="PivotTable6"/>
    <pivotTable tabId="1" name="PivotTable2"/>
    <pivotTable tabId="1" name="PivotTable3"/>
    <pivotTable tabId="1" name="PivotTable8"/>
    <pivotTable tabId="1" name="PivotTable9"/>
    <pivotTable tabId="1" name="PivotTable10"/>
    <pivotTable tabId="1" name="PivotTable11"/>
    <pivotTable tabId="1" name="PivotTable12"/>
    <pivotTable tabId="1" name="PivotTable13"/>
  </pivotTables>
  <data>
    <olap pivotCacheId="1327045308">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62D2915-1415-433D-BE0A-92C85FDFD7D6}" sourceName="[Calender_Table].[Date (Year)]">
  <pivotTables>
    <pivotTable tabId="1" name="PivotTable13"/>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2704530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22A4827-E6D8-4A22-91DE-44C04A5CCFEB}" cache="Slicer_Date__Month" caption="Date (Month)" startItem="4"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CC24EF37-BE95-4DBB-B581-1A4A33C7E463}" cache="Slicer_Date__Month" caption="Date (Month)" showCaption="0" level="1" style="My style" rowHeight="201168"/>
  <slicer name="Date (Year) 2" xr10:uid="{73E4D9FD-6CDA-4AE3-9D2E-0EC9710A499A}" cache="Slicer_Date__Year" columnCount="2" showCaption="0" level="1" style="My style" rowHeight="192024"/>
</slicer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F2180-A3EB-45FF-8165-16BEA62D576B}">
  <dimension ref="A3:N79"/>
  <sheetViews>
    <sheetView topLeftCell="A31" zoomScale="74" zoomScaleNormal="74" workbookViewId="0">
      <selection activeCell="D71" sqref="D71"/>
    </sheetView>
  </sheetViews>
  <sheetFormatPr defaultRowHeight="14.5" x14ac:dyDescent="0.35"/>
  <cols>
    <col min="1" max="1" width="18.6328125" customWidth="1"/>
    <col min="2" max="2" width="16.6328125" customWidth="1"/>
    <col min="3" max="3" width="17.90625" customWidth="1"/>
    <col min="4" max="4" width="21.26953125" customWidth="1"/>
    <col min="5" max="5" width="34.81640625" customWidth="1"/>
    <col min="6" max="6" width="31.54296875" customWidth="1"/>
    <col min="7" max="7" width="24.08984375" customWidth="1"/>
    <col min="10" max="10" width="16.90625" customWidth="1"/>
    <col min="11" max="11" width="24" customWidth="1"/>
    <col min="13" max="13" width="21.6328125" customWidth="1"/>
    <col min="14" max="14" width="26.453125" customWidth="1"/>
  </cols>
  <sheetData>
    <row r="3" spans="1:14" x14ac:dyDescent="0.35">
      <c r="A3" t="s">
        <v>1</v>
      </c>
    </row>
    <row r="5" spans="1:14" x14ac:dyDescent="0.35">
      <c r="J5" t="s">
        <v>7</v>
      </c>
      <c r="M5" t="s">
        <v>8</v>
      </c>
    </row>
    <row r="6" spans="1:14" x14ac:dyDescent="0.35">
      <c r="A6" t="s">
        <v>0</v>
      </c>
      <c r="B6" s="8"/>
      <c r="C6" s="8"/>
      <c r="D6" s="8"/>
      <c r="E6" s="8"/>
      <c r="F6" t="s">
        <v>6</v>
      </c>
      <c r="J6" t="s">
        <v>6</v>
      </c>
      <c r="M6" t="s">
        <v>9</v>
      </c>
    </row>
    <row r="7" spans="1:14" x14ac:dyDescent="0.35">
      <c r="A7" s="3">
        <v>439</v>
      </c>
      <c r="D7" s="7"/>
      <c r="F7" s="1" t="s">
        <v>5</v>
      </c>
      <c r="G7" t="s">
        <v>0</v>
      </c>
      <c r="J7" s="1" t="s">
        <v>5</v>
      </c>
      <c r="K7" t="s">
        <v>2</v>
      </c>
      <c r="M7" s="1" t="s">
        <v>5</v>
      </c>
      <c r="N7" t="s">
        <v>3</v>
      </c>
    </row>
    <row r="8" spans="1:14" x14ac:dyDescent="0.35">
      <c r="D8" s="7"/>
      <c r="F8" s="4" t="s">
        <v>46</v>
      </c>
      <c r="G8" s="3">
        <v>12</v>
      </c>
      <c r="J8" s="4" t="s">
        <v>46</v>
      </c>
      <c r="K8" s="3">
        <v>36.416666666666664</v>
      </c>
      <c r="M8" s="4" t="s">
        <v>46</v>
      </c>
      <c r="N8" s="3">
        <v>5.25</v>
      </c>
    </row>
    <row r="9" spans="1:14" x14ac:dyDescent="0.35">
      <c r="F9" s="4" t="s">
        <v>47</v>
      </c>
      <c r="G9" s="3">
        <v>20</v>
      </c>
      <c r="J9" s="4" t="s">
        <v>47</v>
      </c>
      <c r="K9" s="3">
        <v>35.549999999999997</v>
      </c>
      <c r="M9" s="4" t="s">
        <v>47</v>
      </c>
      <c r="N9" s="3">
        <v>5</v>
      </c>
    </row>
    <row r="10" spans="1:14" x14ac:dyDescent="0.35">
      <c r="F10" s="4" t="s">
        <v>48</v>
      </c>
      <c r="G10" s="3">
        <v>19</v>
      </c>
      <c r="J10" s="4" t="s">
        <v>48</v>
      </c>
      <c r="K10" s="3">
        <v>37.368421052631582</v>
      </c>
      <c r="M10" s="4" t="s">
        <v>48</v>
      </c>
      <c r="N10" s="3">
        <v>5.7142857142857144</v>
      </c>
    </row>
    <row r="11" spans="1:14" x14ac:dyDescent="0.35">
      <c r="A11" t="s">
        <v>2</v>
      </c>
      <c r="F11" s="4" t="s">
        <v>49</v>
      </c>
      <c r="G11" s="3">
        <v>16</v>
      </c>
      <c r="J11" s="4" t="s">
        <v>49</v>
      </c>
      <c r="K11" s="3">
        <v>30.9375</v>
      </c>
      <c r="M11" s="4" t="s">
        <v>49</v>
      </c>
      <c r="N11" s="3">
        <v>7</v>
      </c>
    </row>
    <row r="12" spans="1:14" x14ac:dyDescent="0.35">
      <c r="A12" s="2">
        <v>34.744874715261957</v>
      </c>
      <c r="F12" s="4" t="s">
        <v>50</v>
      </c>
      <c r="G12" s="3">
        <v>12</v>
      </c>
      <c r="J12" s="4" t="s">
        <v>50</v>
      </c>
      <c r="K12" s="3">
        <v>28.25</v>
      </c>
      <c r="M12" s="4" t="s">
        <v>50</v>
      </c>
      <c r="N12" s="3">
        <v>6.666666666666667</v>
      </c>
    </row>
    <row r="13" spans="1:14" x14ac:dyDescent="0.35">
      <c r="F13" s="4" t="s">
        <v>51</v>
      </c>
      <c r="G13" s="3">
        <v>15</v>
      </c>
      <c r="J13" s="4" t="s">
        <v>51</v>
      </c>
      <c r="K13" s="3">
        <v>43.466666666666669</v>
      </c>
      <c r="M13" s="4" t="s">
        <v>51</v>
      </c>
      <c r="N13" s="3">
        <v>1.5</v>
      </c>
    </row>
    <row r="14" spans="1:14" x14ac:dyDescent="0.35">
      <c r="F14" s="4" t="s">
        <v>52</v>
      </c>
      <c r="G14" s="3">
        <v>19</v>
      </c>
      <c r="J14" s="4" t="s">
        <v>52</v>
      </c>
      <c r="K14" s="3">
        <v>36.05263157894737</v>
      </c>
      <c r="M14" s="4" t="s">
        <v>52</v>
      </c>
      <c r="N14" s="3">
        <v>5</v>
      </c>
    </row>
    <row r="15" spans="1:14" x14ac:dyDescent="0.35">
      <c r="F15" s="4" t="s">
        <v>53</v>
      </c>
      <c r="G15" s="3">
        <v>17</v>
      </c>
      <c r="J15" s="4" t="s">
        <v>53</v>
      </c>
      <c r="K15" s="3">
        <v>39.764705882352942</v>
      </c>
      <c r="M15" s="4" t="s">
        <v>53</v>
      </c>
      <c r="N15" s="3">
        <v>4.5999999999999996</v>
      </c>
    </row>
    <row r="16" spans="1:14" x14ac:dyDescent="0.35">
      <c r="F16" s="4" t="s">
        <v>54</v>
      </c>
      <c r="G16" s="3">
        <v>7</v>
      </c>
      <c r="J16" s="4" t="s">
        <v>54</v>
      </c>
      <c r="K16" s="3">
        <v>33.857142857142854</v>
      </c>
      <c r="M16" s="4" t="s">
        <v>54</v>
      </c>
      <c r="N16" s="3">
        <v>6.5</v>
      </c>
    </row>
    <row r="17" spans="1:14" x14ac:dyDescent="0.35">
      <c r="A17" t="s">
        <v>3</v>
      </c>
      <c r="F17" s="4" t="s">
        <v>55</v>
      </c>
      <c r="G17" s="3">
        <v>12</v>
      </c>
      <c r="J17" s="4" t="s">
        <v>55</v>
      </c>
      <c r="K17" s="3">
        <v>32</v>
      </c>
      <c r="M17" s="4" t="s">
        <v>55</v>
      </c>
      <c r="N17" s="3">
        <v>5</v>
      </c>
    </row>
    <row r="18" spans="1:14" x14ac:dyDescent="0.35">
      <c r="A18" s="2">
        <v>5.0948275862068968</v>
      </c>
      <c r="F18" s="4" t="s">
        <v>56</v>
      </c>
      <c r="G18" s="3">
        <v>13</v>
      </c>
      <c r="J18" s="4" t="s">
        <v>56</v>
      </c>
      <c r="K18" s="3">
        <v>37.615384615384613</v>
      </c>
      <c r="M18" s="4" t="s">
        <v>56</v>
      </c>
      <c r="N18" s="3">
        <v>6.5</v>
      </c>
    </row>
    <row r="19" spans="1:14" x14ac:dyDescent="0.35">
      <c r="F19" s="4" t="s">
        <v>57</v>
      </c>
      <c r="G19" s="3">
        <v>26</v>
      </c>
      <c r="J19" s="4" t="s">
        <v>57</v>
      </c>
      <c r="K19" s="3">
        <v>37.384615384615387</v>
      </c>
      <c r="M19" s="4" t="s">
        <v>57</v>
      </c>
      <c r="N19" s="3">
        <v>4.1111111111111107</v>
      </c>
    </row>
    <row r="20" spans="1:14" x14ac:dyDescent="0.35">
      <c r="F20" s="4" t="s">
        <v>58</v>
      </c>
      <c r="G20" s="3">
        <v>22</v>
      </c>
      <c r="J20" s="4" t="s">
        <v>58</v>
      </c>
      <c r="K20" s="3">
        <v>33.954545454545453</v>
      </c>
      <c r="M20" s="4" t="s">
        <v>58</v>
      </c>
      <c r="N20" s="3">
        <v>6.6</v>
      </c>
    </row>
    <row r="21" spans="1:14" x14ac:dyDescent="0.35">
      <c r="F21" s="4" t="s">
        <v>59</v>
      </c>
      <c r="G21" s="3">
        <v>16</v>
      </c>
      <c r="J21" s="4" t="s">
        <v>59</v>
      </c>
      <c r="K21" s="3">
        <v>32.5</v>
      </c>
      <c r="M21" s="4" t="s">
        <v>59</v>
      </c>
      <c r="N21" s="3">
        <v>5.2</v>
      </c>
    </row>
    <row r="22" spans="1:14" x14ac:dyDescent="0.35">
      <c r="A22" s="1" t="s">
        <v>5</v>
      </c>
      <c r="B22" t="s">
        <v>10</v>
      </c>
      <c r="C22" t="s">
        <v>13</v>
      </c>
      <c r="F22" s="4" t="s">
        <v>60</v>
      </c>
      <c r="G22" s="3">
        <v>12</v>
      </c>
      <c r="J22" s="4" t="s">
        <v>60</v>
      </c>
      <c r="K22" s="3">
        <v>37.25</v>
      </c>
      <c r="M22" s="4" t="s">
        <v>60</v>
      </c>
      <c r="N22" s="3">
        <v>5.5</v>
      </c>
    </row>
    <row r="23" spans="1:14" x14ac:dyDescent="0.35">
      <c r="A23" s="4" t="s">
        <v>11</v>
      </c>
      <c r="B23" s="2">
        <v>234</v>
      </c>
      <c r="C23" s="6">
        <v>0.53302961275626426</v>
      </c>
      <c r="F23" s="4" t="s">
        <v>61</v>
      </c>
      <c r="G23" s="3">
        <v>21</v>
      </c>
      <c r="J23" s="4" t="s">
        <v>61</v>
      </c>
      <c r="K23" s="3">
        <v>34.047619047619051</v>
      </c>
      <c r="M23" s="4" t="s">
        <v>61</v>
      </c>
      <c r="N23" s="3">
        <v>3.3333333333333335</v>
      </c>
    </row>
    <row r="24" spans="1:14" x14ac:dyDescent="0.35">
      <c r="A24" s="4" t="s">
        <v>12</v>
      </c>
      <c r="B24" s="2">
        <v>205</v>
      </c>
      <c r="C24" s="6">
        <v>0.46697038724373574</v>
      </c>
      <c r="F24" s="4" t="s">
        <v>62</v>
      </c>
      <c r="G24" s="3">
        <v>12</v>
      </c>
      <c r="J24" s="4" t="s">
        <v>62</v>
      </c>
      <c r="K24" s="3">
        <v>34.583333333333336</v>
      </c>
      <c r="M24" s="4" t="s">
        <v>62</v>
      </c>
      <c r="N24" s="3">
        <v>5</v>
      </c>
    </row>
    <row r="25" spans="1:14" x14ac:dyDescent="0.35">
      <c r="A25" s="4" t="s">
        <v>4</v>
      </c>
      <c r="B25" s="2">
        <v>439</v>
      </c>
      <c r="C25" s="6">
        <v>1</v>
      </c>
      <c r="E25" s="11"/>
      <c r="F25" s="4" t="s">
        <v>63</v>
      </c>
      <c r="G25" s="3">
        <v>15</v>
      </c>
      <c r="J25" s="4" t="s">
        <v>63</v>
      </c>
      <c r="K25" s="3">
        <v>31</v>
      </c>
      <c r="M25" s="4" t="s">
        <v>63</v>
      </c>
      <c r="N25" s="3">
        <v>6.5</v>
      </c>
    </row>
    <row r="26" spans="1:14" x14ac:dyDescent="0.35">
      <c r="F26" s="4" t="s">
        <v>64</v>
      </c>
      <c r="G26" s="3">
        <v>23</v>
      </c>
      <c r="J26" s="4" t="s">
        <v>64</v>
      </c>
      <c r="K26" s="3">
        <v>33.347826086956523</v>
      </c>
      <c r="M26" s="4" t="s">
        <v>64</v>
      </c>
      <c r="N26" s="3">
        <v>3</v>
      </c>
    </row>
    <row r="27" spans="1:14" x14ac:dyDescent="0.35">
      <c r="F27" s="4" t="s">
        <v>65</v>
      </c>
      <c r="G27" s="3">
        <v>15</v>
      </c>
      <c r="J27" s="4" t="s">
        <v>65</v>
      </c>
      <c r="K27" s="3">
        <v>33.799999999999997</v>
      </c>
      <c r="M27" s="4" t="s">
        <v>65</v>
      </c>
      <c r="N27" s="3">
        <v>5.333333333333333</v>
      </c>
    </row>
    <row r="28" spans="1:14" x14ac:dyDescent="0.35">
      <c r="A28" s="9" t="s">
        <v>14</v>
      </c>
      <c r="B28" s="9" t="s">
        <v>16</v>
      </c>
      <c r="C28" s="9" t="s">
        <v>15</v>
      </c>
      <c r="D28" s="10"/>
      <c r="F28" s="4" t="s">
        <v>66</v>
      </c>
      <c r="G28" s="3">
        <v>15</v>
      </c>
      <c r="J28" s="4" t="s">
        <v>66</v>
      </c>
      <c r="K28" s="3">
        <v>32.466666666666669</v>
      </c>
      <c r="M28" s="4" t="s">
        <v>66</v>
      </c>
      <c r="N28" s="3">
        <v>7.333333333333333</v>
      </c>
    </row>
    <row r="29" spans="1:14" x14ac:dyDescent="0.35">
      <c r="A29" s="12" t="str">
        <f>A24</f>
        <v>Not Admitted</v>
      </c>
      <c r="B29" s="12">
        <f>B24</f>
        <v>205</v>
      </c>
      <c r="C29" s="13">
        <f>C24</f>
        <v>0.46697038724373574</v>
      </c>
      <c r="D29" s="14"/>
      <c r="F29" s="4" t="s">
        <v>67</v>
      </c>
      <c r="G29" s="3">
        <v>14</v>
      </c>
      <c r="J29" s="4" t="s">
        <v>67</v>
      </c>
      <c r="K29" s="3">
        <v>36.642857142857146</v>
      </c>
      <c r="M29" s="4" t="s">
        <v>67</v>
      </c>
      <c r="N29" s="3">
        <v>5.6</v>
      </c>
    </row>
    <row r="30" spans="1:14" x14ac:dyDescent="0.35">
      <c r="A30" s="12" t="str">
        <f>A23</f>
        <v>Admitted</v>
      </c>
      <c r="B30" s="12">
        <f>B23</f>
        <v>234</v>
      </c>
      <c r="C30" s="13">
        <f>C23</f>
        <v>0.53302961275626426</v>
      </c>
      <c r="D30" s="14"/>
      <c r="F30" s="4" t="s">
        <v>68</v>
      </c>
      <c r="G30" s="3">
        <v>19</v>
      </c>
      <c r="J30" s="4" t="s">
        <v>68</v>
      </c>
      <c r="K30" s="3">
        <v>32.631578947368418</v>
      </c>
      <c r="M30" s="4" t="s">
        <v>68</v>
      </c>
      <c r="N30" s="3">
        <v>4.4000000000000004</v>
      </c>
    </row>
    <row r="31" spans="1:14" x14ac:dyDescent="0.35">
      <c r="F31" s="4" t="s">
        <v>69</v>
      </c>
      <c r="G31" s="3">
        <v>17</v>
      </c>
      <c r="J31" s="4" t="s">
        <v>69</v>
      </c>
      <c r="K31" s="3">
        <v>32.176470588235297</v>
      </c>
      <c r="M31" s="4" t="s">
        <v>69</v>
      </c>
      <c r="N31" s="3">
        <v>4</v>
      </c>
    </row>
    <row r="32" spans="1:14" x14ac:dyDescent="0.35">
      <c r="F32" s="4" t="s">
        <v>70</v>
      </c>
      <c r="G32" s="3">
        <v>16</v>
      </c>
      <c r="J32" s="4" t="s">
        <v>70</v>
      </c>
      <c r="K32" s="3">
        <v>33.5</v>
      </c>
      <c r="M32" s="4" t="s">
        <v>70</v>
      </c>
      <c r="N32" s="3">
        <v>3</v>
      </c>
    </row>
    <row r="33" spans="1:14" x14ac:dyDescent="0.35">
      <c r="A33" t="s">
        <v>36</v>
      </c>
      <c r="F33" s="4" t="s">
        <v>71</v>
      </c>
      <c r="G33" s="3">
        <v>15</v>
      </c>
      <c r="J33" s="4" t="s">
        <v>71</v>
      </c>
      <c r="K33" s="3">
        <v>33.200000000000003</v>
      </c>
      <c r="M33" s="4" t="s">
        <v>71</v>
      </c>
      <c r="N33" s="3">
        <v>5.666666666666667</v>
      </c>
    </row>
    <row r="34" spans="1:14" x14ac:dyDescent="0.35">
      <c r="A34" s="1" t="s">
        <v>5</v>
      </c>
      <c r="B34" t="s">
        <v>17</v>
      </c>
      <c r="F34" s="4" t="s">
        <v>72</v>
      </c>
      <c r="G34" s="3">
        <v>19</v>
      </c>
      <c r="J34" s="4" t="s">
        <v>72</v>
      </c>
      <c r="K34" s="3">
        <v>35.89473684210526</v>
      </c>
      <c r="M34" s="4" t="s">
        <v>72</v>
      </c>
      <c r="N34" s="3">
        <v>5.8571428571428568</v>
      </c>
    </row>
    <row r="35" spans="1:14" x14ac:dyDescent="0.35">
      <c r="A35" s="4" t="s">
        <v>18</v>
      </c>
      <c r="B35" s="3">
        <v>63</v>
      </c>
      <c r="F35" s="4" t="s">
        <v>4</v>
      </c>
      <c r="G35" s="3">
        <v>439</v>
      </c>
      <c r="J35" s="4" t="s">
        <v>4</v>
      </c>
      <c r="K35" s="3">
        <v>34.744874715261957</v>
      </c>
      <c r="M35" s="4" t="s">
        <v>4</v>
      </c>
      <c r="N35" s="3">
        <v>5.0948275862068968</v>
      </c>
    </row>
    <row r="36" spans="1:14" x14ac:dyDescent="0.35">
      <c r="A36" s="4" t="s">
        <v>19</v>
      </c>
      <c r="B36" s="3">
        <v>52</v>
      </c>
    </row>
    <row r="37" spans="1:14" x14ac:dyDescent="0.35">
      <c r="A37" s="4" t="s">
        <v>20</v>
      </c>
      <c r="B37" s="3">
        <v>54</v>
      </c>
    </row>
    <row r="38" spans="1:14" x14ac:dyDescent="0.35">
      <c r="A38" s="4" t="s">
        <v>21</v>
      </c>
      <c r="B38" s="3">
        <v>50</v>
      </c>
    </row>
    <row r="39" spans="1:14" x14ac:dyDescent="0.35">
      <c r="A39" s="4" t="s">
        <v>22</v>
      </c>
      <c r="B39" s="3">
        <v>54</v>
      </c>
    </row>
    <row r="40" spans="1:14" x14ac:dyDescent="0.35">
      <c r="A40" s="4" t="s">
        <v>23</v>
      </c>
      <c r="B40" s="3">
        <v>57</v>
      </c>
    </row>
    <row r="41" spans="1:14" x14ac:dyDescent="0.35">
      <c r="A41" s="4" t="s">
        <v>24</v>
      </c>
      <c r="B41" s="3">
        <v>57</v>
      </c>
    </row>
    <row r="42" spans="1:14" x14ac:dyDescent="0.35">
      <c r="A42" s="4" t="s">
        <v>25</v>
      </c>
      <c r="B42" s="3">
        <v>52</v>
      </c>
    </row>
    <row r="43" spans="1:14" x14ac:dyDescent="0.35">
      <c r="A43" s="4" t="s">
        <v>4</v>
      </c>
      <c r="B43" s="3">
        <v>439</v>
      </c>
    </row>
    <row r="47" spans="1:14" x14ac:dyDescent="0.35">
      <c r="A47" t="s">
        <v>38</v>
      </c>
    </row>
    <row r="48" spans="1:14" x14ac:dyDescent="0.35">
      <c r="A48" s="1" t="s">
        <v>5</v>
      </c>
      <c r="B48" t="s">
        <v>37</v>
      </c>
    </row>
    <row r="49" spans="1:2" x14ac:dyDescent="0.35">
      <c r="A49" s="4" t="s">
        <v>28</v>
      </c>
      <c r="B49" s="3">
        <v>248</v>
      </c>
    </row>
    <row r="50" spans="1:2" x14ac:dyDescent="0.35">
      <c r="A50" s="4" t="s">
        <v>29</v>
      </c>
      <c r="B50" s="3">
        <v>191</v>
      </c>
    </row>
    <row r="51" spans="1:2" x14ac:dyDescent="0.35">
      <c r="A51" s="4" t="s">
        <v>4</v>
      </c>
      <c r="B51" s="3">
        <v>439</v>
      </c>
    </row>
    <row r="54" spans="1:2" x14ac:dyDescent="0.35">
      <c r="A54" t="s">
        <v>40</v>
      </c>
    </row>
    <row r="55" spans="1:2" x14ac:dyDescent="0.35">
      <c r="A55" s="1" t="s">
        <v>5</v>
      </c>
      <c r="B55" t="s">
        <v>39</v>
      </c>
    </row>
    <row r="56" spans="1:2" x14ac:dyDescent="0.35">
      <c r="A56" s="4" t="s">
        <v>30</v>
      </c>
      <c r="B56" s="3">
        <v>217</v>
      </c>
    </row>
    <row r="57" spans="1:2" x14ac:dyDescent="0.35">
      <c r="A57" s="4" t="s">
        <v>26</v>
      </c>
      <c r="B57" s="3">
        <v>222</v>
      </c>
    </row>
    <row r="58" spans="1:2" x14ac:dyDescent="0.35">
      <c r="A58" s="4" t="s">
        <v>4</v>
      </c>
      <c r="B58" s="3">
        <v>439</v>
      </c>
    </row>
    <row r="62" spans="1:2" x14ac:dyDescent="0.35">
      <c r="A62" t="s">
        <v>44</v>
      </c>
    </row>
    <row r="63" spans="1:2" x14ac:dyDescent="0.35">
      <c r="A63" s="1" t="s">
        <v>5</v>
      </c>
      <c r="B63" t="s">
        <v>43</v>
      </c>
    </row>
    <row r="64" spans="1:2" x14ac:dyDescent="0.35">
      <c r="A64" s="4" t="s">
        <v>34</v>
      </c>
      <c r="B64" s="3">
        <v>3</v>
      </c>
    </row>
    <row r="65" spans="1:2" x14ac:dyDescent="0.35">
      <c r="A65" s="4" t="s">
        <v>42</v>
      </c>
      <c r="B65" s="3">
        <v>4</v>
      </c>
    </row>
    <row r="66" spans="1:2" x14ac:dyDescent="0.35">
      <c r="A66" s="4" t="s">
        <v>35</v>
      </c>
      <c r="B66" s="3">
        <v>11</v>
      </c>
    </row>
    <row r="67" spans="1:2" x14ac:dyDescent="0.35">
      <c r="A67" s="4" t="s">
        <v>41</v>
      </c>
      <c r="B67" s="3">
        <v>14</v>
      </c>
    </row>
    <row r="68" spans="1:2" x14ac:dyDescent="0.35">
      <c r="A68" s="4" t="s">
        <v>33</v>
      </c>
      <c r="B68" s="3">
        <v>17</v>
      </c>
    </row>
    <row r="69" spans="1:2" x14ac:dyDescent="0.35">
      <c r="A69" s="4" t="s">
        <v>32</v>
      </c>
      <c r="B69" s="3">
        <v>53</v>
      </c>
    </row>
    <row r="70" spans="1:2" x14ac:dyDescent="0.35">
      <c r="A70" s="4" t="s">
        <v>31</v>
      </c>
      <c r="B70" s="3">
        <v>99</v>
      </c>
    </row>
    <row r="71" spans="1:2" x14ac:dyDescent="0.35">
      <c r="A71" s="4" t="s">
        <v>27</v>
      </c>
      <c r="B71" s="3">
        <v>238</v>
      </c>
    </row>
    <row r="72" spans="1:2" x14ac:dyDescent="0.35">
      <c r="A72" s="4" t="s">
        <v>4</v>
      </c>
      <c r="B72" s="3">
        <v>439</v>
      </c>
    </row>
    <row r="76" spans="1:2" x14ac:dyDescent="0.35">
      <c r="A76" t="s">
        <v>40</v>
      </c>
    </row>
    <row r="77" spans="1:2" x14ac:dyDescent="0.35">
      <c r="A77" s="1" t="s">
        <v>5</v>
      </c>
    </row>
    <row r="78" spans="1:2" x14ac:dyDescent="0.35">
      <c r="A78" s="4" t="s">
        <v>45</v>
      </c>
    </row>
    <row r="79" spans="1:2" x14ac:dyDescent="0.35">
      <c r="A79" s="4" t="s">
        <v>4</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0E20-CD35-4A65-A396-DA4762F0065A}">
  <dimension ref="A1:P27"/>
  <sheetViews>
    <sheetView showGridLines="0" tabSelected="1" zoomScaleNormal="100" workbookViewId="0">
      <selection activeCell="P1" sqref="P1:P1048576"/>
    </sheetView>
  </sheetViews>
  <sheetFormatPr defaultColWidth="0" defaultRowHeight="14.5" zeroHeight="1" x14ac:dyDescent="0.35"/>
  <cols>
    <col min="1" max="16" width="8.7265625" style="15" customWidth="1"/>
    <col min="17" max="17" width="8.7265625" style="15" hidden="1" customWidth="1"/>
    <col min="18" max="16384" width="8.7265625" style="15" hidden="1"/>
  </cols>
  <sheetData>
    <row r="1" s="15" customFormat="1" x14ac:dyDescent="0.35"/>
    <row r="2" s="15" customFormat="1" x14ac:dyDescent="0.35"/>
    <row r="3" s="15" customFormat="1" x14ac:dyDescent="0.35"/>
    <row r="4" s="15" customFormat="1" x14ac:dyDescent="0.35"/>
    <row r="5" s="15" customFormat="1" x14ac:dyDescent="0.35"/>
    <row r="6" s="15" customFormat="1" x14ac:dyDescent="0.35"/>
    <row r="7" s="15" customFormat="1" x14ac:dyDescent="0.35"/>
    <row r="8" s="15" customFormat="1" x14ac:dyDescent="0.35"/>
    <row r="9" s="15" customFormat="1" x14ac:dyDescent="0.35"/>
    <row r="10" s="15" customFormat="1" x14ac:dyDescent="0.35"/>
    <row r="11" s="15" customFormat="1" x14ac:dyDescent="0.35"/>
    <row r="12" s="15" customFormat="1" x14ac:dyDescent="0.35"/>
    <row r="13" s="15" customFormat="1" x14ac:dyDescent="0.35"/>
    <row r="14" s="15" customFormat="1" x14ac:dyDescent="0.35"/>
    <row r="15" s="15" customFormat="1" x14ac:dyDescent="0.35"/>
    <row r="16" s="15" customFormat="1" x14ac:dyDescent="0.35"/>
    <row r="17" s="15" customFormat="1" x14ac:dyDescent="0.35"/>
    <row r="18" s="15" customFormat="1" x14ac:dyDescent="0.35"/>
    <row r="19" s="15" customFormat="1" x14ac:dyDescent="0.35"/>
    <row r="20" s="15" customFormat="1" x14ac:dyDescent="0.35"/>
    <row r="21" s="15" customFormat="1" x14ac:dyDescent="0.35"/>
    <row r="22" s="15" customFormat="1" x14ac:dyDescent="0.35"/>
    <row r="23" s="15" customFormat="1" hidden="1" x14ac:dyDescent="0.35"/>
    <row r="24" s="15" customFormat="1" hidden="1" x14ac:dyDescent="0.35"/>
    <row r="25" s="15" customFormat="1" hidden="1" x14ac:dyDescent="0.35"/>
    <row r="26" s="15" customFormat="1" hidden="1" x14ac:dyDescent="0.35"/>
    <row r="27" s="15" customFormat="1" hidden="1" x14ac:dyDescent="0.3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92C1C-A9C1-46DE-88E5-627A82199AF3}">
  <dimension ref="A1"/>
  <sheetViews>
    <sheetView workbookViewId="0">
      <selection activeCell="F17" sqref="F17"/>
    </sheetView>
  </sheetViews>
  <sheetFormatPr defaultRowHeight="14.5" x14ac:dyDescent="0.35"/>
  <cols>
    <col min="1" max="16384" width="8.726562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5B4B1-B793-4ACA-B13E-C1FC589256BF}">
  <dimension ref="A1"/>
  <sheetViews>
    <sheetView workbookViewId="0"/>
  </sheetViews>
  <sheetFormatPr defaultRowHeight="14.5" x14ac:dyDescent="0.35"/>
  <cols>
    <col min="1" max="16384" width="8.7265625" style="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538D1-AD3D-4D6F-880B-D2EAEAC7F00D}">
  <dimension ref="A1"/>
  <sheetViews>
    <sheetView workbookViewId="0">
      <selection activeCell="K17" sqref="K17"/>
    </sheetView>
  </sheetViews>
  <sheetFormatPr defaultRowHeight="14.5" x14ac:dyDescent="0.35"/>
  <cols>
    <col min="1" max="16384" width="8.7265625" style="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CCB601C-65A9-4B43-A5A1-A7F41DE68003}">
  <ds:schemaRefs/>
</ds:datastoreItem>
</file>

<file path=customXml/itemProps2.xml><?xml version="1.0" encoding="utf-8"?>
<ds:datastoreItem xmlns:ds="http://schemas.openxmlformats.org/officeDocument/2006/customXml" ds:itemID="{4C9E7AF7-AA18-40FC-9FCE-F593544EE0A2}">
  <ds:schemaRefs/>
</ds:datastoreItem>
</file>

<file path=customXml/itemProps3.xml><?xml version="1.0" encoding="utf-8"?>
<ds:datastoreItem xmlns:ds="http://schemas.openxmlformats.org/officeDocument/2006/customXml" ds:itemID="{9A559F24-DEBF-4FFA-8360-990CDE05B656}">
  <ds:schemaRefs/>
</ds:datastoreItem>
</file>

<file path=customXml/itemProps4.xml><?xml version="1.0" encoding="utf-8"?>
<ds:datastoreItem xmlns:ds="http://schemas.openxmlformats.org/officeDocument/2006/customXml" ds:itemID="{CECF9FDC-2732-4F44-8FC6-4096FD96E1DE}">
  <ds:schemaRefs/>
</ds:datastoreItem>
</file>

<file path=customXml/itemProps5.xml><?xml version="1.0" encoding="utf-8"?>
<ds:datastoreItem xmlns:ds="http://schemas.openxmlformats.org/officeDocument/2006/customXml" ds:itemID="{2B8A097A-6E4F-408C-AD37-6EBF5B0B3947}">
  <ds:schemaRefs/>
</ds:datastoreItem>
</file>

<file path=customXml/itemProps6.xml><?xml version="1.0" encoding="utf-8"?>
<ds:datastoreItem xmlns:ds="http://schemas.openxmlformats.org/officeDocument/2006/customXml" ds:itemID="{31E60411-10FB-44A3-856A-6FECCA62522C}">
  <ds:schemaRefs/>
</ds:datastoreItem>
</file>

<file path=customXml/itemProps7.xml><?xml version="1.0" encoding="utf-8"?>
<ds:datastoreItem xmlns:ds="http://schemas.openxmlformats.org/officeDocument/2006/customXml" ds:itemID="{6E4B169B-3CE9-4451-94AD-E9454C44A6D0}">
  <ds:schemaRefs/>
</ds:datastoreItem>
</file>

<file path=customXml/itemProps8.xml><?xml version="1.0" encoding="utf-8"?>
<ds:datastoreItem xmlns:ds="http://schemas.openxmlformats.org/officeDocument/2006/customXml" ds:itemID="{D75462D7-FC4E-42C6-A4A7-503B5C797201}">
  <ds:schemaRefs/>
</ds:datastoreItem>
</file>

<file path=customXml/itemProps9.xml><?xml version="1.0" encoding="utf-8"?>
<ds:datastoreItem xmlns:ds="http://schemas.openxmlformats.org/officeDocument/2006/customXml" ds:itemID="{CE731DE0-D35F-4612-83B1-8693814E1BCA}">
  <ds:schemaRefs/>
</ds:datastoreItem>
</file>

<file path=customXml/itemProps10.xml><?xml version="1.0" encoding="utf-8"?>
<ds:datastoreItem xmlns:ds="http://schemas.openxmlformats.org/officeDocument/2006/customXml" ds:itemID="{AC7B131E-95AD-41A6-A5E4-6CE994DB7BA3}">
  <ds:schemaRefs/>
</ds:datastoreItem>
</file>

<file path=customXml/itemProps11.xml><?xml version="1.0" encoding="utf-8"?>
<ds:datastoreItem xmlns:ds="http://schemas.openxmlformats.org/officeDocument/2006/customXml" ds:itemID="{6151D2D9-2352-4FB3-A608-1619BB314165}">
  <ds:schemaRefs>
    <ds:schemaRef ds:uri="http://schemas.microsoft.com/DataMashup"/>
  </ds:schemaRefs>
</ds:datastoreItem>
</file>

<file path=customXml/itemProps12.xml><?xml version="1.0" encoding="utf-8"?>
<ds:datastoreItem xmlns:ds="http://schemas.openxmlformats.org/officeDocument/2006/customXml" ds:itemID="{6CDA9B3D-EF1E-4954-B289-CAC9C852A527}">
  <ds:schemaRefs/>
</ds:datastoreItem>
</file>

<file path=customXml/itemProps13.xml><?xml version="1.0" encoding="utf-8"?>
<ds:datastoreItem xmlns:ds="http://schemas.openxmlformats.org/officeDocument/2006/customXml" ds:itemID="{DA06E14F-5668-405E-BADD-9A80EE177B94}">
  <ds:schemaRefs/>
</ds:datastoreItem>
</file>

<file path=customXml/itemProps14.xml><?xml version="1.0" encoding="utf-8"?>
<ds:datastoreItem xmlns:ds="http://schemas.openxmlformats.org/officeDocument/2006/customXml" ds:itemID="{6334F6B9-66B6-4AB2-864B-F36E8F182ECC}">
  <ds:schemaRefs/>
</ds:datastoreItem>
</file>

<file path=customXml/itemProps15.xml><?xml version="1.0" encoding="utf-8"?>
<ds:datastoreItem xmlns:ds="http://schemas.openxmlformats.org/officeDocument/2006/customXml" ds:itemID="{E5B62EBB-8D09-4026-B312-7AEC5BD5213F}">
  <ds:schemaRefs/>
</ds:datastoreItem>
</file>

<file path=customXml/itemProps16.xml><?xml version="1.0" encoding="utf-8"?>
<ds:datastoreItem xmlns:ds="http://schemas.openxmlformats.org/officeDocument/2006/customXml" ds:itemID="{D20FB907-9893-45FC-A5F9-C690E661BAA8}">
  <ds:schemaRefs/>
</ds:datastoreItem>
</file>

<file path=customXml/itemProps17.xml><?xml version="1.0" encoding="utf-8"?>
<ds:datastoreItem xmlns:ds="http://schemas.openxmlformats.org/officeDocument/2006/customXml" ds:itemID="{F8B59513-7B97-490F-9F56-B783FB4680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no.of patients</vt:lpstr>
      <vt:lpstr>Average 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mehak arora</dc:creator>
  <cp:lastModifiedBy>mehak arora</cp:lastModifiedBy>
  <cp:lastPrinted>2026-01-22T22:27:36Z</cp:lastPrinted>
  <dcterms:created xsi:type="dcterms:W3CDTF">2026-01-22T11:35:50Z</dcterms:created>
  <dcterms:modified xsi:type="dcterms:W3CDTF">2026-01-22T22:32:16Z</dcterms:modified>
</cp:coreProperties>
</file>